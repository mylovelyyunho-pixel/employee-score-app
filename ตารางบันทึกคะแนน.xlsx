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.Ap พี่เปย์ 2025\7.แผนงานประจำปี 2025\2.Elit Team Cashier\"/>
    </mc:Choice>
  </mc:AlternateContent>
  <xr:revisionPtr revIDLastSave="0" documentId="13_ncr:1_{4157157B-E265-40E2-A03E-1A564B748C08}" xr6:coauthVersionLast="36" xr6:coauthVersionMax="36" xr10:uidLastSave="{00000000-0000-0000-0000-000000000000}"/>
  <bookViews>
    <workbookView xWindow="0" yWindow="0" windowWidth="30720" windowHeight="13260" activeTab="3" xr2:uid="{02DD2C02-1E99-489A-9F28-2E0BFD497E80}"/>
  </bookViews>
  <sheets>
    <sheet name="2C 2B ครั้งที่ 1" sheetId="1" r:id="rId1"/>
    <sheet name="1B 1A ครั้งที่ 1" sheetId="2" r:id="rId2"/>
    <sheet name="สรุปผลครั้งที่ 1" sheetId="4" r:id="rId3"/>
    <sheet name="2C 2B ครั้งที่ 2" sheetId="5" r:id="rId4"/>
    <sheet name="1B 1A ครั้งที่ 2" sheetId="6" r:id="rId5"/>
    <sheet name="สรุปผลครั้งที่ 2" sheetId="7" r:id="rId6"/>
    <sheet name="2C 2B คะแนนตามเกณฑ์" sheetId="9" r:id="rId7"/>
    <sheet name="1B 1A คะแนนตามเกณฑ์" sheetId="10" r:id="rId8"/>
    <sheet name="สรุปผลแผนงาน" sheetId="11" r:id="rId9"/>
  </sheets>
  <definedNames>
    <definedName name="_xlnm._FilterDatabase" localSheetId="1" hidden="1">'1B 1A ครั้งที่ 1'!$A$3:$K$53</definedName>
    <definedName name="_xlnm._FilterDatabase" localSheetId="4" hidden="1">'1B 1A ครั้งที่ 2'!$A$3:$K$40</definedName>
    <definedName name="_xlnm._FilterDatabase" localSheetId="0" hidden="1">'2C 2B ครั้งที่ 1'!$D$3:$J$3</definedName>
    <definedName name="_xlnm._FilterDatabase" localSheetId="3" hidden="1">'2C 2B ครั้งที่ 2'!$D$3:$J$3</definedName>
    <definedName name="_xlnm._FilterDatabase" localSheetId="6" hidden="1">'2C 2B คะแนนตามเกณฑ์'!$D$3:$N$3</definedName>
    <definedName name="_xlnm.Print_Area" localSheetId="1">'1B 1A ครั้งที่ 1'!$A$1:$K$63</definedName>
    <definedName name="_xlnm.Print_Area" localSheetId="4">'1B 1A ครั้งที่ 2'!$A$1:$K$50</definedName>
    <definedName name="_xlnm.Print_Area" localSheetId="7">'1B 1A คะแนนตามเกณฑ์'!$A$1:$K$51</definedName>
    <definedName name="_xlnm.Print_Area" localSheetId="0">'2C 2B ครั้งที่ 1'!$A$1:$J$28</definedName>
    <definedName name="_xlnm.Print_Area" localSheetId="3">'2C 2B ครั้งที่ 2'!$A$1:$J$26</definedName>
    <definedName name="_xlnm.Print_Area" localSheetId="6">'2C 2B คะแนนตามเกณฑ์'!$A$1:$N$27</definedName>
    <definedName name="_xlnm.Print_Titles" localSheetId="1">'1B 1A ครั้งที่ 1'!$1:$3</definedName>
    <definedName name="_xlnm.Print_Titles" localSheetId="4">'1B 1A ครั้งที่ 2'!$1:$3</definedName>
    <definedName name="_xlnm.Print_Titles" localSheetId="7">'1B 1A คะแนนตามเกณฑ์'!$1:$4</definedName>
    <definedName name="_xlnm.Print_Titles" localSheetId="0">'2C 2B ครั้งที่ 1'!$1:$3</definedName>
    <definedName name="_xlnm.Print_Titles" localSheetId="3">'2C 2B ครั้งที่ 2'!$1:$3</definedName>
    <definedName name="_xlnm.Print_Titles" localSheetId="6">'2C 2B คะแนนตามเกณฑ์'!$1:$3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6" l="1"/>
  <c r="P3" i="6"/>
  <c r="O3" i="6"/>
  <c r="N3" i="6"/>
  <c r="O3" i="5"/>
  <c r="N3" i="5"/>
  <c r="M3" i="5"/>
  <c r="L3" i="5"/>
  <c r="N12" i="10" l="1"/>
  <c r="N18" i="10"/>
  <c r="N28" i="10"/>
  <c r="N35" i="10"/>
  <c r="L4" i="10"/>
  <c r="I14" i="11" l="1"/>
  <c r="G14" i="11"/>
  <c r="H14" i="11" s="1"/>
  <c r="F14" i="11"/>
  <c r="E14" i="11"/>
  <c r="D14" i="11"/>
  <c r="C14" i="11"/>
  <c r="H13" i="11"/>
  <c r="F13" i="11"/>
  <c r="H12" i="11"/>
  <c r="F12" i="11"/>
  <c r="F7" i="11"/>
  <c r="G7" i="11" s="1"/>
  <c r="D7" i="11"/>
  <c r="E7" i="11" s="1"/>
  <c r="C7" i="11"/>
  <c r="G6" i="11"/>
  <c r="E6" i="11"/>
  <c r="G5" i="11"/>
  <c r="E5" i="11"/>
  <c r="D6" i="9"/>
  <c r="D7" i="9"/>
  <c r="D8" i="9"/>
  <c r="D9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5" i="9"/>
  <c r="L4" i="9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G39" i="6"/>
  <c r="G40" i="6"/>
  <c r="G33" i="6"/>
  <c r="G34" i="6"/>
  <c r="G35" i="6"/>
  <c r="G36" i="6"/>
  <c r="G37" i="6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I14" i="7"/>
  <c r="G14" i="7"/>
  <c r="E14" i="7"/>
  <c r="D14" i="7"/>
  <c r="C14" i="7"/>
  <c r="H13" i="7"/>
  <c r="F13" i="7"/>
  <c r="H12" i="7"/>
  <c r="F12" i="7"/>
  <c r="F7" i="7"/>
  <c r="D7" i="7"/>
  <c r="C7" i="7"/>
  <c r="G6" i="7"/>
  <c r="E6" i="7"/>
  <c r="G5" i="7"/>
  <c r="E5" i="7"/>
  <c r="G5" i="6"/>
  <c r="G6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27" i="2"/>
  <c r="H27" i="2" s="1"/>
  <c r="I27" i="2" s="1"/>
  <c r="G28" i="2"/>
  <c r="H28" i="2" s="1"/>
  <c r="I28" i="2" s="1"/>
  <c r="G29" i="2"/>
  <c r="H29" i="2" s="1"/>
  <c r="I29" i="2" s="1"/>
  <c r="G30" i="2"/>
  <c r="H30" i="2" s="1"/>
  <c r="I30" i="2" s="1"/>
  <c r="G31" i="2"/>
  <c r="G32" i="2"/>
  <c r="G33" i="2"/>
  <c r="G34" i="2"/>
  <c r="G36" i="2"/>
  <c r="G37" i="2"/>
  <c r="G38" i="2"/>
  <c r="G39" i="2"/>
  <c r="G40" i="2"/>
  <c r="G41" i="2"/>
  <c r="G42" i="2"/>
  <c r="G43" i="2"/>
  <c r="G44" i="2"/>
  <c r="G46" i="2"/>
  <c r="G47" i="2"/>
  <c r="G48" i="2"/>
  <c r="G49" i="2"/>
  <c r="G50" i="2"/>
  <c r="G6" i="2"/>
  <c r="G8" i="2"/>
  <c r="G9" i="2"/>
  <c r="G10" i="2"/>
  <c r="H10" i="2" s="1"/>
  <c r="I10" i="2" s="1"/>
  <c r="G11" i="2"/>
  <c r="H11" i="2" s="1"/>
  <c r="I11" i="2" s="1"/>
  <c r="G12" i="2"/>
  <c r="H12" i="2" s="1"/>
  <c r="I12" i="2" s="1"/>
  <c r="G13" i="2"/>
  <c r="H13" i="2" s="1"/>
  <c r="I13" i="2" s="1"/>
  <c r="G14" i="2"/>
  <c r="H14" i="2" s="1"/>
  <c r="I14" i="2" s="1"/>
  <c r="G15" i="2"/>
  <c r="H15" i="2" s="1"/>
  <c r="I15" i="2" s="1"/>
  <c r="G17" i="2"/>
  <c r="H17" i="2" s="1"/>
  <c r="I17" i="2" s="1"/>
  <c r="G18" i="2"/>
  <c r="H18" i="2" s="1"/>
  <c r="I18" i="2" s="1"/>
  <c r="G19" i="2"/>
  <c r="H19" i="2" s="1"/>
  <c r="I19" i="2" s="1"/>
  <c r="G20" i="2"/>
  <c r="H20" i="2" s="1"/>
  <c r="I20" i="2" s="1"/>
  <c r="G22" i="2"/>
  <c r="H22" i="2" s="1"/>
  <c r="I22" i="2" s="1"/>
  <c r="G23" i="2"/>
  <c r="H23" i="2" s="1"/>
  <c r="I23" i="2" s="1"/>
  <c r="G25" i="2"/>
  <c r="H25" i="2" s="1"/>
  <c r="I25" i="2" s="1"/>
  <c r="G14" i="5"/>
  <c r="G15" i="5"/>
  <c r="G16" i="5"/>
  <c r="G17" i="5"/>
  <c r="G18" i="5"/>
  <c r="G19" i="5"/>
  <c r="G20" i="5"/>
  <c r="A40" i="6"/>
  <c r="A39" i="6"/>
  <c r="G38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G4" i="6"/>
  <c r="A4" i="6"/>
  <c r="G3" i="6"/>
  <c r="H6" i="6" s="1"/>
  <c r="I6" i="6" s="1"/>
  <c r="G26" i="5"/>
  <c r="A26" i="5"/>
  <c r="G25" i="5"/>
  <c r="A25" i="5"/>
  <c r="G24" i="5"/>
  <c r="A24" i="5"/>
  <c r="G23" i="5"/>
  <c r="A23" i="5"/>
  <c r="G22" i="5"/>
  <c r="A22" i="5"/>
  <c r="G21" i="5"/>
  <c r="A21" i="5"/>
  <c r="A20" i="5"/>
  <c r="A19" i="5"/>
  <c r="A18" i="5"/>
  <c r="A17" i="5"/>
  <c r="A16" i="5"/>
  <c r="A15" i="5"/>
  <c r="A14" i="5"/>
  <c r="G13" i="5"/>
  <c r="A13" i="5"/>
  <c r="G12" i="5"/>
  <c r="A12" i="5"/>
  <c r="G11" i="5"/>
  <c r="A11" i="5"/>
  <c r="G10" i="5"/>
  <c r="A10" i="5"/>
  <c r="G8" i="5"/>
  <c r="G7" i="5"/>
  <c r="G6" i="5"/>
  <c r="G5" i="5"/>
  <c r="G4" i="5"/>
  <c r="G3" i="5"/>
  <c r="F14" i="7" l="1"/>
  <c r="H14" i="7"/>
  <c r="G7" i="7"/>
  <c r="E7" i="7"/>
  <c r="H36" i="6"/>
  <c r="I36" i="6" s="1"/>
  <c r="H35" i="6"/>
  <c r="I35" i="6" s="1"/>
  <c r="H40" i="6"/>
  <c r="I40" i="6" s="1"/>
  <c r="H39" i="6"/>
  <c r="I39" i="6" s="1"/>
  <c r="H34" i="6"/>
  <c r="I34" i="6" s="1"/>
  <c r="H37" i="6"/>
  <c r="I37" i="6" s="1"/>
  <c r="H33" i="6"/>
  <c r="I33" i="6" s="1"/>
  <c r="H20" i="5"/>
  <c r="I20" i="5" s="1"/>
  <c r="E21" i="9" s="1"/>
  <c r="F21" i="9" s="1"/>
  <c r="H9" i="6"/>
  <c r="I9" i="6" s="1"/>
  <c r="H22" i="6"/>
  <c r="I22" i="6" s="1"/>
  <c r="H7" i="6"/>
  <c r="I7" i="6" s="1"/>
  <c r="H23" i="6"/>
  <c r="I23" i="6" s="1"/>
  <c r="H8" i="6"/>
  <c r="I8" i="6" s="1"/>
  <c r="H24" i="6"/>
  <c r="I24" i="6" s="1"/>
  <c r="H25" i="6"/>
  <c r="I25" i="6" s="1"/>
  <c r="H26" i="6"/>
  <c r="I26" i="6" s="1"/>
  <c r="H10" i="6"/>
  <c r="I10" i="6" s="1"/>
  <c r="H27" i="6"/>
  <c r="I27" i="6" s="1"/>
  <c r="H11" i="6"/>
  <c r="I11" i="6" s="1"/>
  <c r="H28" i="6"/>
  <c r="I28" i="6" s="1"/>
  <c r="H12" i="6"/>
  <c r="I12" i="6" s="1"/>
  <c r="H29" i="6"/>
  <c r="I29" i="6" s="1"/>
  <c r="H13" i="6"/>
  <c r="I13" i="6" s="1"/>
  <c r="H31" i="6"/>
  <c r="I31" i="6" s="1"/>
  <c r="H4" i="6"/>
  <c r="I4" i="6" s="1"/>
  <c r="H32" i="6"/>
  <c r="I32" i="6" s="1"/>
  <c r="H16" i="6"/>
  <c r="I16" i="6" s="1"/>
  <c r="H5" i="6"/>
  <c r="I5" i="6" s="1"/>
  <c r="H17" i="6"/>
  <c r="I17" i="6" s="1"/>
  <c r="H18" i="6"/>
  <c r="I18" i="6" s="1"/>
  <c r="H30" i="6"/>
  <c r="I30" i="6" s="1"/>
  <c r="H14" i="6"/>
  <c r="I14" i="6" s="1"/>
  <c r="H19" i="6"/>
  <c r="I19" i="6" s="1"/>
  <c r="H38" i="6"/>
  <c r="I38" i="6" s="1"/>
  <c r="H20" i="6"/>
  <c r="I20" i="6" s="1"/>
  <c r="H15" i="6"/>
  <c r="I15" i="6" s="1"/>
  <c r="H21" i="6"/>
  <c r="I21" i="6" s="1"/>
  <c r="H19" i="5"/>
  <c r="I19" i="5" s="1"/>
  <c r="E20" i="9" s="1"/>
  <c r="F20" i="9" s="1"/>
  <c r="H18" i="5"/>
  <c r="I18" i="5" s="1"/>
  <c r="E19" i="9" s="1"/>
  <c r="F19" i="9" s="1"/>
  <c r="H24" i="5"/>
  <c r="I24" i="5" s="1"/>
  <c r="E25" i="9" s="1"/>
  <c r="F25" i="9" s="1"/>
  <c r="H11" i="5"/>
  <c r="I11" i="5" s="1"/>
  <c r="E12" i="9" s="1"/>
  <c r="F12" i="9" s="1"/>
  <c r="H12" i="5"/>
  <c r="I12" i="5" s="1"/>
  <c r="E13" i="9" s="1"/>
  <c r="F13" i="9" s="1"/>
  <c r="H26" i="5"/>
  <c r="I26" i="5" s="1"/>
  <c r="E27" i="9" s="1"/>
  <c r="F27" i="9" s="1"/>
  <c r="H13" i="5"/>
  <c r="I13" i="5" s="1"/>
  <c r="E14" i="9" s="1"/>
  <c r="F14" i="9" s="1"/>
  <c r="H25" i="5"/>
  <c r="I25" i="5" s="1"/>
  <c r="E26" i="9" s="1"/>
  <c r="F26" i="9" s="1"/>
  <c r="H17" i="5"/>
  <c r="I17" i="5" s="1"/>
  <c r="E18" i="9" s="1"/>
  <c r="F18" i="9" s="1"/>
  <c r="H16" i="5"/>
  <c r="I16" i="5" s="1"/>
  <c r="E17" i="9" s="1"/>
  <c r="F17" i="9" s="1"/>
  <c r="H6" i="5"/>
  <c r="I6" i="5" s="1"/>
  <c r="E7" i="9" s="1"/>
  <c r="F7" i="9" s="1"/>
  <c r="H21" i="5"/>
  <c r="I21" i="5" s="1"/>
  <c r="E22" i="9" s="1"/>
  <c r="F22" i="9" s="1"/>
  <c r="H8" i="5"/>
  <c r="I8" i="5" s="1"/>
  <c r="E9" i="9" s="1"/>
  <c r="F9" i="9" s="1"/>
  <c r="H22" i="5"/>
  <c r="I22" i="5" s="1"/>
  <c r="E23" i="9" s="1"/>
  <c r="F23" i="9" s="1"/>
  <c r="H14" i="5"/>
  <c r="I14" i="5" s="1"/>
  <c r="E15" i="9" s="1"/>
  <c r="F15" i="9" s="1"/>
  <c r="H10" i="5"/>
  <c r="I10" i="5" s="1"/>
  <c r="E11" i="9" s="1"/>
  <c r="F11" i="9" s="1"/>
  <c r="H23" i="5"/>
  <c r="I23" i="5" s="1"/>
  <c r="E24" i="9" s="1"/>
  <c r="F24" i="9" s="1"/>
  <c r="H4" i="5"/>
  <c r="I4" i="5" s="1"/>
  <c r="E5" i="9" s="1"/>
  <c r="F5" i="9" s="1"/>
  <c r="H7" i="5"/>
  <c r="I7" i="5" s="1"/>
  <c r="E8" i="9" s="1"/>
  <c r="F8" i="9" s="1"/>
  <c r="H15" i="5"/>
  <c r="I15" i="5" s="1"/>
  <c r="E16" i="9" s="1"/>
  <c r="F16" i="9" s="1"/>
  <c r="H5" i="5"/>
  <c r="I5" i="5" s="1"/>
  <c r="E6" i="9" s="1"/>
  <c r="F6" i="9" s="1"/>
  <c r="H14" i="4"/>
  <c r="H13" i="4"/>
  <c r="H12" i="4"/>
  <c r="F13" i="4"/>
  <c r="F12" i="4"/>
  <c r="E14" i="4"/>
  <c r="F14" i="4" s="1"/>
  <c r="G14" i="4"/>
  <c r="I14" i="4"/>
  <c r="D14" i="4"/>
  <c r="C14" i="4"/>
  <c r="F7" i="4"/>
  <c r="D7" i="4"/>
  <c r="C7" i="4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10" i="1"/>
  <c r="G6" i="4"/>
  <c r="E6" i="4"/>
  <c r="G5" i="4"/>
  <c r="E5" i="4"/>
  <c r="E7" i="4" l="1"/>
  <c r="G7" i="4"/>
  <c r="G19" i="1"/>
  <c r="A6" i="2" l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" i="2" l="1"/>
  <c r="A4" i="2"/>
  <c r="H40" i="2" l="1"/>
  <c r="I40" i="2" s="1"/>
  <c r="H39" i="2"/>
  <c r="I39" i="2" s="1"/>
  <c r="G51" i="2"/>
  <c r="G53" i="2"/>
  <c r="G7" i="2"/>
  <c r="G5" i="2"/>
  <c r="G4" i="2"/>
  <c r="G3" i="2"/>
  <c r="G5" i="1"/>
  <c r="G6" i="1"/>
  <c r="G7" i="1"/>
  <c r="G8" i="1"/>
  <c r="G10" i="1"/>
  <c r="G11" i="1"/>
  <c r="G12" i="1"/>
  <c r="G13" i="1"/>
  <c r="G14" i="1"/>
  <c r="G16" i="1"/>
  <c r="G17" i="1"/>
  <c r="G18" i="1"/>
  <c r="G20" i="1"/>
  <c r="G21" i="1"/>
  <c r="G22" i="1"/>
  <c r="G23" i="1"/>
  <c r="G24" i="1"/>
  <c r="G25" i="1"/>
  <c r="G26" i="1"/>
  <c r="G27" i="1"/>
  <c r="G28" i="1"/>
  <c r="G4" i="1"/>
  <c r="G3" i="1"/>
  <c r="H37" i="2" l="1"/>
  <c r="I37" i="2" s="1"/>
  <c r="H36" i="2"/>
  <c r="I36" i="2" s="1"/>
  <c r="H5" i="2"/>
  <c r="I5" i="2" s="1"/>
  <c r="H35" i="2"/>
  <c r="H6" i="2"/>
  <c r="I6" i="2" s="1"/>
  <c r="H7" i="2"/>
  <c r="I7" i="2" s="1"/>
  <c r="H8" i="2"/>
  <c r="I8" i="2" s="1"/>
  <c r="H51" i="2"/>
  <c r="I51" i="2" s="1"/>
  <c r="H9" i="2"/>
  <c r="I9" i="2" s="1"/>
  <c r="H50" i="2"/>
  <c r="I50" i="2" s="1"/>
  <c r="H49" i="2"/>
  <c r="I49" i="2" s="1"/>
  <c r="H34" i="2"/>
  <c r="I34" i="2" s="1"/>
  <c r="H47" i="2"/>
  <c r="I47" i="2" s="1"/>
  <c r="H46" i="2"/>
  <c r="I46" i="2" s="1"/>
  <c r="H44" i="2"/>
  <c r="I44" i="2" s="1"/>
  <c r="H42" i="2"/>
  <c r="I42" i="2" s="1"/>
  <c r="H4" i="2"/>
  <c r="I4" i="2" s="1"/>
  <c r="H48" i="2"/>
  <c r="I48" i="2" s="1"/>
  <c r="H33" i="2"/>
  <c r="I33" i="2" s="1"/>
  <c r="H32" i="2"/>
  <c r="I32" i="2" s="1"/>
  <c r="H31" i="2"/>
  <c r="I31" i="2" s="1"/>
  <c r="H43" i="2"/>
  <c r="I43" i="2" s="1"/>
  <c r="H41" i="2"/>
  <c r="I41" i="2" s="1"/>
  <c r="H53" i="2"/>
  <c r="I53" i="2" s="1"/>
  <c r="H38" i="2"/>
  <c r="I38" i="2" s="1"/>
  <c r="H10" i="1"/>
  <c r="I10" i="1" s="1"/>
  <c r="H23" i="1"/>
  <c r="I23" i="1" s="1"/>
  <c r="H14" i="1"/>
  <c r="I14" i="1" s="1"/>
  <c r="H8" i="1"/>
  <c r="I8" i="1" s="1"/>
  <c r="H7" i="1"/>
  <c r="I7" i="1" s="1"/>
  <c r="H27" i="1"/>
  <c r="I27" i="1" s="1"/>
  <c r="H26" i="1"/>
  <c r="I26" i="1" s="1"/>
  <c r="H24" i="1"/>
  <c r="I24" i="1" s="1"/>
  <c r="H19" i="1"/>
  <c r="I19" i="1" s="1"/>
  <c r="H17" i="1"/>
  <c r="I17" i="1" s="1"/>
  <c r="H6" i="1"/>
  <c r="I6" i="1" s="1"/>
  <c r="H25" i="1"/>
  <c r="I25" i="1" s="1"/>
  <c r="H22" i="1"/>
  <c r="I22" i="1" s="1"/>
  <c r="H21" i="1"/>
  <c r="I21" i="1" s="1"/>
  <c r="H20" i="1"/>
  <c r="I20" i="1" s="1"/>
  <c r="H18" i="1"/>
  <c r="I18" i="1" s="1"/>
  <c r="H16" i="1"/>
  <c r="I16" i="1" s="1"/>
  <c r="H28" i="1"/>
  <c r="I28" i="1" s="1"/>
  <c r="H12" i="1"/>
  <c r="I12" i="1" s="1"/>
  <c r="H4" i="1"/>
  <c r="I4" i="1" s="1"/>
  <c r="H13" i="1"/>
  <c r="I13" i="1" s="1"/>
  <c r="H11" i="1"/>
  <c r="I11" i="1" s="1"/>
  <c r="H5" i="1"/>
  <c r="I5" i="1" s="1"/>
</calcChain>
</file>

<file path=xl/sharedStrings.xml><?xml version="1.0" encoding="utf-8"?>
<sst xmlns="http://schemas.openxmlformats.org/spreadsheetml/2006/main" count="449" uniqueCount="172">
  <si>
    <t>ลำดับ</t>
  </si>
  <si>
    <t>ID</t>
  </si>
  <si>
    <t>ชื่อ - สกุล</t>
  </si>
  <si>
    <t>ISO</t>
  </si>
  <si>
    <t>ความรู้ทั่วไป</t>
  </si>
  <si>
    <t>นางอมร  ทฤษฎี</t>
  </si>
  <si>
    <t>นางสาวกนิษฐา ศรีอาภัย</t>
  </si>
  <si>
    <t>นางสาวทสพร ทองทา</t>
  </si>
  <si>
    <t>นางสาวสุรัสสา ผาสุข</t>
  </si>
  <si>
    <t>นางสาวจุติพร สุญาสิทธิ์</t>
  </si>
  <si>
    <t>นางสาวอภิญญา หลิ่วน้อย</t>
  </si>
  <si>
    <t>นางกัญญาภัค ศุภมนตรี</t>
  </si>
  <si>
    <t>นางสาวรุ่งเรือง หงษ์ลอย</t>
  </si>
  <si>
    <t>นางสาวจิราภรณ์ ทองบุญ</t>
  </si>
  <si>
    <t>นางปรียาภรณ์ ขำสงค์ชัยเจริญ</t>
  </si>
  <si>
    <t>นางสาวกชพร กลั่นสวน</t>
  </si>
  <si>
    <t>นางสาวศรัณยา ลีละภมรกิจ</t>
  </si>
  <si>
    <t>นางสาวกรรณิกา มีมุข</t>
  </si>
  <si>
    <t>นางสาวอัญชลี ปั้นแตง</t>
  </si>
  <si>
    <t>นางสาวมนธิชา จันทะผล</t>
  </si>
  <si>
    <t>นางสาวภัทรณัฏฐ์ ขจรพัชรสกุล</t>
  </si>
  <si>
    <t>นางสาวเกตุวดี จูเกตุ</t>
  </si>
  <si>
    <t>นางสาวรุ่งรัตน์ ดาวไธสง</t>
  </si>
  <si>
    <t>นางสาวอรสุรางค์ ภาคบูรณ์</t>
  </si>
  <si>
    <t>นางสาวประภาพร มากเจริญ</t>
  </si>
  <si>
    <t>นางสาวพิชญ์ชิชา หาญธีรวิรสร์</t>
  </si>
  <si>
    <t>นางสาวศุภวรรณ แดงทอง</t>
  </si>
  <si>
    <t>นางสาวนภัสวรรณ ชะฎาจิตร</t>
  </si>
  <si>
    <t>นางสาวกัญศิธณุวัน กาญจน์ศิฐกุล</t>
  </si>
  <si>
    <t>GRAND TOTAL</t>
  </si>
  <si>
    <t xml:space="preserve"> TOTAL</t>
  </si>
  <si>
    <t>นางสาวสมใจ  ปุกจันทึก</t>
  </si>
  <si>
    <t>นางสาวบุญจิรา  ไสยยา</t>
  </si>
  <si>
    <t>นางสาวกาญจนา  บุญมา</t>
  </si>
  <si>
    <t>นางเบญจา คำชนะ</t>
  </si>
  <si>
    <t>นางทรรศนียา หลงคำรัตน์</t>
  </si>
  <si>
    <t>นางสาวกาญจนา ถาวรวัน</t>
  </si>
  <si>
    <t>นางสาวปัทมา ชื่นทองคำ</t>
  </si>
  <si>
    <t xml:space="preserve">นางสาวสุภาวดี เอี่ยมอารยกุล </t>
  </si>
  <si>
    <t>นางสาววิชุดา ตีบจันทร์</t>
  </si>
  <si>
    <t>นางสาวนิศารัตน์ นาสันเทียะ</t>
  </si>
  <si>
    <t>นางวราพรรณ  คงธน</t>
  </si>
  <si>
    <t>นางสาวศุภลักษณ์ วงษ์ชาชม</t>
  </si>
  <si>
    <t>นางสาวปาริชาติ จันทร์ขาว</t>
  </si>
  <si>
    <t>นางสาวกมลทิพย์ อาจกลาง</t>
  </si>
  <si>
    <t>นางสาววรัญญา ปันแปง</t>
  </si>
  <si>
    <t>นางสาวพลอยไพลิน เวทนา</t>
  </si>
  <si>
    <t>นางสาวสุนิศา มูลชัย</t>
  </si>
  <si>
    <t>นางสาวธัญญรัตน์ นาคำ</t>
  </si>
  <si>
    <t>นางสาวการสดา สังฆะศรี</t>
  </si>
  <si>
    <t>นางสาวกัญญาพัชร เสาะแสวง</t>
  </si>
  <si>
    <t>นางสาวประภากร บำรุงกุล</t>
  </si>
  <si>
    <t>นายธัญวุฒิ สมยันพล</t>
  </si>
  <si>
    <t>นายปัณณวิชญ์ อิสรากมลพัฒน์</t>
  </si>
  <si>
    <t>นางสาววิภาดา ชูรัตน์</t>
  </si>
  <si>
    <t>นางสาวสุเมทา พรหมดี</t>
  </si>
  <si>
    <t>นางสาวรัฐติกาล จิตต์พรหม</t>
  </si>
  <si>
    <t>นางสาวปานชนก สุขโข</t>
  </si>
  <si>
    <t>นางสาวปภาณิน ป้องบุญมี</t>
  </si>
  <si>
    <t>นายพงศกร ปลอดโปร่ง</t>
  </si>
  <si>
    <t>นายเกียรติศักดิ์ บุญหลง</t>
  </si>
  <si>
    <t>นางสาววิไลพร สัมฤทธิ์</t>
  </si>
  <si>
    <t>นางสาวเวณิกา เสียมไหม</t>
  </si>
  <si>
    <t>นางสาวนวพร บาลี</t>
  </si>
  <si>
    <t>นางสาวณัฏฐ์ชญา สีสมุดคำ</t>
  </si>
  <si>
    <t>นางสาวอภิญญา พงศ์พูนทรัพย์</t>
  </si>
  <si>
    <t>นางสาวญาสมินทร์ ทับทอง</t>
  </si>
  <si>
    <t>นางสาวณัฏฐ์นรี ตำหนักที่</t>
  </si>
  <si>
    <t>นางสาวสุดารัตน์ เคนกุดรัง</t>
  </si>
  <si>
    <t>นางสาวสุชาดา มั่งสมบูรณ์</t>
  </si>
  <si>
    <t>นางสาวกชกร ไขว้เครือ</t>
  </si>
  <si>
    <t>นางสาวเดียร์นา บุตรวงษ์</t>
  </si>
  <si>
    <t>นางสาวสินีนาถ สงวนศรี</t>
  </si>
  <si>
    <t>นางสาวญาณิศา อุนเกษม</t>
  </si>
  <si>
    <t>นางสาวสุจิตรา ภูพันนา</t>
  </si>
  <si>
    <t>นางสาวสุดารัตน์ คูณศรี</t>
  </si>
  <si>
    <t>นางสาวนัฐรดี เสนาปัก</t>
  </si>
  <si>
    <t>นางสาวภัทรวดี คงด้วง</t>
  </si>
  <si>
    <t>นางสาวมินตรา เครือมาศ</t>
  </si>
  <si>
    <t>นางสาวภัทชนก จิตรประสงค์</t>
  </si>
  <si>
    <t>นางสาวพิมลพรรณ สังข์ทอง</t>
  </si>
  <si>
    <t>หมายเหตุ</t>
  </si>
  <si>
    <t>อายุงานไม่ถึง 1 ปี</t>
  </si>
  <si>
    <t>CASH</t>
  </si>
  <si>
    <t>ตารางบันทึกคะแนน สอบความรู้ในงาน SUPERVISOR ครั้งที่  1 /2568</t>
  </si>
  <si>
    <t>ไม่ผ่าน</t>
  </si>
  <si>
    <t>สอบก่อน</t>
  </si>
  <si>
    <t xml:space="preserve"> </t>
  </si>
  <si>
    <t>ซ่อมผ่าน</t>
  </si>
  <si>
    <r>
      <t>116/</t>
    </r>
    <r>
      <rPr>
        <sz val="16"/>
        <color rgb="FFC00000"/>
        <rFont val="Angsana New"/>
        <family val="1"/>
      </rPr>
      <t>127</t>
    </r>
  </si>
  <si>
    <r>
      <t>89.5/</t>
    </r>
    <r>
      <rPr>
        <sz val="16"/>
        <color rgb="FFC00000"/>
        <rFont val="Angsana New"/>
        <family val="1"/>
      </rPr>
      <t>98</t>
    </r>
  </si>
  <si>
    <r>
      <t>54/</t>
    </r>
    <r>
      <rPr>
        <sz val="16"/>
        <color rgb="FFC00000"/>
        <rFont val="Angsana New"/>
        <family val="1"/>
      </rPr>
      <t>60</t>
    </r>
  </si>
  <si>
    <r>
      <t>34/</t>
    </r>
    <r>
      <rPr>
        <sz val="16"/>
        <color rgb="FFC00000"/>
        <rFont val="Angsana New"/>
        <family val="1"/>
      </rPr>
      <t>37</t>
    </r>
  </si>
  <si>
    <r>
      <t>28/</t>
    </r>
    <r>
      <rPr>
        <sz val="16"/>
        <color rgb="FFC00000"/>
        <rFont val="Angsana New"/>
        <family val="1"/>
      </rPr>
      <t>30</t>
    </r>
  </si>
  <si>
    <r>
      <t>46/</t>
    </r>
    <r>
      <rPr>
        <sz val="16"/>
        <color rgb="FFC00000"/>
        <rFont val="Angsana New"/>
        <family val="1"/>
      </rPr>
      <t>56</t>
    </r>
  </si>
  <si>
    <r>
      <t>33/</t>
    </r>
    <r>
      <rPr>
        <sz val="16"/>
        <color rgb="FFC00000"/>
        <rFont val="Angsana New"/>
        <family val="1"/>
      </rPr>
      <t>37</t>
    </r>
  </si>
  <si>
    <r>
      <t>109/</t>
    </r>
    <r>
      <rPr>
        <sz val="16"/>
        <color rgb="FFC00000"/>
        <rFont val="Angsana New"/>
        <family val="1"/>
      </rPr>
      <t>123</t>
    </r>
  </si>
  <si>
    <r>
      <t>84/</t>
    </r>
    <r>
      <rPr>
        <sz val="16"/>
        <color rgb="FFC00000"/>
        <rFont val="Angsana New"/>
        <family val="1"/>
      </rPr>
      <t>95</t>
    </r>
  </si>
  <si>
    <r>
      <t>39/</t>
    </r>
    <r>
      <rPr>
        <sz val="16"/>
        <color rgb="FFC00000"/>
        <rFont val="Angsana New"/>
        <family val="1"/>
      </rPr>
      <t>40</t>
    </r>
  </si>
  <si>
    <r>
      <t>27/</t>
    </r>
    <r>
      <rPr>
        <sz val="16"/>
        <color rgb="FFC00000"/>
        <rFont val="Angsana New"/>
        <family val="1"/>
      </rPr>
      <t>30</t>
    </r>
  </si>
  <si>
    <r>
      <t>29/</t>
    </r>
    <r>
      <rPr>
        <sz val="16"/>
        <color rgb="FFC00000"/>
        <rFont val="Angsana New"/>
        <family val="1"/>
      </rPr>
      <t>30</t>
    </r>
  </si>
  <si>
    <r>
      <t>38/</t>
    </r>
    <r>
      <rPr>
        <sz val="16"/>
        <color rgb="FFC00000"/>
        <rFont val="Angsana New"/>
        <family val="1"/>
      </rPr>
      <t>58</t>
    </r>
  </si>
  <si>
    <r>
      <t>37/</t>
    </r>
    <r>
      <rPr>
        <sz val="16"/>
        <color rgb="FFC00000"/>
        <rFont val="Angsana New"/>
        <family val="1"/>
      </rPr>
      <t>38</t>
    </r>
  </si>
  <si>
    <r>
      <t>30/</t>
    </r>
    <r>
      <rPr>
        <sz val="16"/>
        <color rgb="FFC00000"/>
        <rFont val="Angsana New"/>
        <family val="1"/>
      </rPr>
      <t>30</t>
    </r>
  </si>
  <si>
    <r>
      <t>80/</t>
    </r>
    <r>
      <rPr>
        <sz val="16"/>
        <color rgb="FFC00000"/>
        <rFont val="Angsana New"/>
        <family val="1"/>
      </rPr>
      <t>97</t>
    </r>
  </si>
  <si>
    <r>
      <t>46/</t>
    </r>
    <r>
      <rPr>
        <sz val="16"/>
        <color rgb="FFC00000"/>
        <rFont val="Angsana New"/>
        <family val="1"/>
      </rPr>
      <t>58</t>
    </r>
  </si>
  <si>
    <r>
      <t>56/</t>
    </r>
    <r>
      <rPr>
        <sz val="16"/>
        <color rgb="FFC00000"/>
        <rFont val="Angsana New"/>
        <family val="1"/>
      </rPr>
      <t>58</t>
    </r>
  </si>
  <si>
    <r>
      <t>28/</t>
    </r>
    <r>
      <rPr>
        <sz val="16"/>
        <color rgb="FFC00000"/>
        <rFont val="Angsana New"/>
        <family val="1"/>
      </rPr>
      <t>40</t>
    </r>
  </si>
  <si>
    <r>
      <t>19/</t>
    </r>
    <r>
      <rPr>
        <sz val="16"/>
        <color rgb="FFC00000"/>
        <rFont val="Angsana New"/>
        <family val="1"/>
      </rPr>
      <t>29</t>
    </r>
  </si>
  <si>
    <r>
      <t>79.5/</t>
    </r>
    <r>
      <rPr>
        <sz val="16"/>
        <color rgb="FFC00000"/>
        <rFont val="Angsana New"/>
        <family val="1"/>
      </rPr>
      <t>98</t>
    </r>
  </si>
  <si>
    <r>
      <t>37/</t>
    </r>
    <r>
      <rPr>
        <sz val="16"/>
        <color rgb="FFC00000"/>
        <rFont val="Angsana New"/>
        <family val="1"/>
      </rPr>
      <t>39</t>
    </r>
  </si>
  <si>
    <r>
      <t>112/</t>
    </r>
    <r>
      <rPr>
        <sz val="16"/>
        <color rgb="FFC00000"/>
        <rFont val="Angsana New"/>
        <family val="1"/>
      </rPr>
      <t>127</t>
    </r>
  </si>
  <si>
    <r>
      <t>86.5/</t>
    </r>
    <r>
      <rPr>
        <sz val="16"/>
        <color rgb="FFC00000"/>
        <rFont val="Angsana New"/>
        <family val="1"/>
      </rPr>
      <t>98</t>
    </r>
  </si>
  <si>
    <r>
      <t>44/</t>
    </r>
    <r>
      <rPr>
        <sz val="16"/>
        <color rgb="FFC00000"/>
        <rFont val="Angsana New"/>
        <family val="1"/>
      </rPr>
      <t>56</t>
    </r>
  </si>
  <si>
    <r>
      <t>85/</t>
    </r>
    <r>
      <rPr>
        <sz val="16"/>
        <color rgb="FFC00000"/>
        <rFont val="Angsana New"/>
        <family val="1"/>
      </rPr>
      <t>97</t>
    </r>
  </si>
  <si>
    <r>
      <t>37/</t>
    </r>
    <r>
      <rPr>
        <sz val="16"/>
        <color rgb="FFC00000"/>
        <rFont val="Angsana New"/>
        <family val="1"/>
      </rPr>
      <t>40</t>
    </r>
  </si>
  <si>
    <r>
      <t>18/</t>
    </r>
    <r>
      <rPr>
        <sz val="16"/>
        <color rgb="FFC00000"/>
        <rFont val="Angsana New"/>
        <family val="1"/>
      </rPr>
      <t>28</t>
    </r>
  </si>
  <si>
    <r>
      <t>38/</t>
    </r>
    <r>
      <rPr>
        <sz val="16"/>
        <color rgb="FFC00000"/>
        <rFont val="Angsana New"/>
        <family val="1"/>
      </rPr>
      <t>40</t>
    </r>
  </si>
  <si>
    <r>
      <t>48/</t>
    </r>
    <r>
      <rPr>
        <sz val="16"/>
        <color rgb="FFC00000"/>
        <rFont val="Angsana New"/>
        <family val="1"/>
      </rPr>
      <t>60</t>
    </r>
  </si>
  <si>
    <r>
      <t>48/</t>
    </r>
    <r>
      <rPr>
        <sz val="16"/>
        <color rgb="FFC00000"/>
        <rFont val="Angsana New"/>
        <family val="1"/>
      </rPr>
      <t>56</t>
    </r>
  </si>
  <si>
    <t>สอบหลังจากวันที่กำหนด</t>
  </si>
  <si>
    <r>
      <t>80/</t>
    </r>
    <r>
      <rPr>
        <sz val="16"/>
        <color rgb="FFC00000"/>
        <rFont val="Angsana New"/>
        <family val="1"/>
      </rPr>
      <t>98.50</t>
    </r>
  </si>
  <si>
    <r>
      <t>115/</t>
    </r>
    <r>
      <rPr>
        <sz val="16"/>
        <color rgb="FFC00000"/>
        <rFont val="Angsana New"/>
        <family val="1"/>
      </rPr>
      <t>126</t>
    </r>
  </si>
  <si>
    <r>
      <t>103/</t>
    </r>
    <r>
      <rPr>
        <sz val="16"/>
        <color rgb="FFC00000"/>
        <rFont val="Angsana New"/>
        <family val="1"/>
      </rPr>
      <t>127</t>
    </r>
  </si>
  <si>
    <r>
      <t>104/</t>
    </r>
    <r>
      <rPr>
        <sz val="16"/>
        <color rgb="FFC00000"/>
        <rFont val="Angsana New"/>
        <family val="1"/>
      </rPr>
      <t>126</t>
    </r>
  </si>
  <si>
    <r>
      <t>104/</t>
    </r>
    <r>
      <rPr>
        <sz val="16"/>
        <color rgb="FFC00000"/>
        <rFont val="Angsana New"/>
        <family val="1"/>
      </rPr>
      <t>128</t>
    </r>
  </si>
  <si>
    <r>
      <t>110/</t>
    </r>
    <r>
      <rPr>
        <sz val="16"/>
        <color rgb="FFC00000"/>
        <rFont val="Angsana New"/>
        <family val="1"/>
      </rPr>
      <t>126</t>
    </r>
  </si>
  <si>
    <r>
      <t>88.5/</t>
    </r>
    <r>
      <rPr>
        <sz val="16"/>
        <color rgb="FFC00000"/>
        <rFont val="Angsana New"/>
        <family val="1"/>
      </rPr>
      <t>97</t>
    </r>
  </si>
  <si>
    <t>ตารางบันทึกคะแนน สอบความรู้ในงาน  CASHIER 1B 1A ครั้งที่  1 /2568</t>
  </si>
  <si>
    <t>ระดับ</t>
  </si>
  <si>
    <t>จำนวนพนักงานทั้งหมด</t>
  </si>
  <si>
    <t>เข้าร่วมโครงการ</t>
  </si>
  <si>
    <t>2C</t>
  </si>
  <si>
    <t>1A , 1B</t>
  </si>
  <si>
    <t>คิดเป็น %</t>
  </si>
  <si>
    <t>รวม</t>
  </si>
  <si>
    <t>สรุปผลการสอบความรู้ในงาน ครั้งที่ 1 สังกัด KPD -DMK ประจำปี 2568</t>
  </si>
  <si>
    <t xml:space="preserve"> -</t>
  </si>
  <si>
    <t>ผ่านเกณฑ์ 90%</t>
  </si>
  <si>
    <t>ผ่าน ( คน )</t>
  </si>
  <si>
    <t>ซ่อมผ่าน ( คน )</t>
  </si>
  <si>
    <t>พนักงานที่เข้าร่วมโครงการ</t>
  </si>
  <si>
    <t>ไม่ร่วมโครงการ</t>
  </si>
  <si>
    <t>ลาป่วยเกิน 30 วัน</t>
  </si>
  <si>
    <t>ลาคลอด</t>
  </si>
  <si>
    <t>พนักงานที่ทำแบบทดสอบความรู้ในงานทั้งหมด</t>
  </si>
  <si>
    <t>ตารางบันทึกคะแนน สอบความรู้ในงาน  CASHIER 1B 1A ครั้งที่  2 /2568</t>
  </si>
  <si>
    <t>สรุปผลการสอบความรู้ในงาน ครั้งที่ 2 สังกัด KPD -DMK ประจำปี 2568</t>
  </si>
  <si>
    <t>ตารางบันทึกคะแนน แผนงาน ELITE TEAM 2568 SUPERVISOR 2C 2B</t>
  </si>
  <si>
    <t>ครั้งที่ 1</t>
  </si>
  <si>
    <t>ครั้งที่ 2</t>
  </si>
  <si>
    <t>ความรู้ในงาน+ทักษะ</t>
  </si>
  <si>
    <t>มาปฏิบัติงาน</t>
  </si>
  <si>
    <t>คำชมเชย</t>
  </si>
  <si>
    <t>จำนวนวันที่</t>
  </si>
  <si>
    <t>ปริมาณ</t>
  </si>
  <si>
    <t>งาน</t>
  </si>
  <si>
    <t>ความผิดพลาดที่มีผล</t>
  </si>
  <si>
    <t>กระทบกับลูกค้า</t>
  </si>
  <si>
    <t>จำนวนรายการขาย</t>
  </si>
  <si>
    <t>พนักงานทำได้</t>
  </si>
  <si>
    <t>TOTAL</t>
  </si>
  <si>
    <t>สรุปผล</t>
  </si>
  <si>
    <t>สรุปผลแผนงาน ELITE TEAM  KPD -DMK ประจำปี 2568</t>
  </si>
  <si>
    <t>พนักงานทั้งหมด</t>
  </si>
  <si>
    <t>ตารางบันทึกคะแนน แผนงาน ELITE TEAM 2568 CASHIER 1B 1A</t>
  </si>
  <si>
    <r>
      <t>85/</t>
    </r>
    <r>
      <rPr>
        <sz val="16"/>
        <color rgb="FFFF0000"/>
        <rFont val="Angsana New"/>
        <family val="1"/>
      </rPr>
      <t>97</t>
    </r>
  </si>
  <si>
    <r>
      <t>80/</t>
    </r>
    <r>
      <rPr>
        <sz val="16"/>
        <color rgb="FFFF0000"/>
        <rFont val="Angsana New"/>
        <family val="1"/>
      </rPr>
      <t>97</t>
    </r>
  </si>
  <si>
    <r>
      <t>80/</t>
    </r>
    <r>
      <rPr>
        <sz val="16"/>
        <color rgb="FFFF0000"/>
        <rFont val="Angsana New"/>
        <family val="1"/>
      </rPr>
      <t>98.50</t>
    </r>
  </si>
  <si>
    <r>
      <t>84/</t>
    </r>
    <r>
      <rPr>
        <sz val="16"/>
        <color rgb="FFFF0000"/>
        <rFont val="Angsana New"/>
        <family val="1"/>
      </rPr>
      <t>95</t>
    </r>
  </si>
  <si>
    <r>
      <t>86.5/</t>
    </r>
    <r>
      <rPr>
        <sz val="16"/>
        <color rgb="FFFF0000"/>
        <rFont val="Angsana New"/>
        <family val="1"/>
      </rPr>
      <t>98</t>
    </r>
  </si>
  <si>
    <t>ตารางบันทึกคะแนน สอบความรู้ในงาน SUPERVISOR 2B,2B ครั้งที่  2 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</si>
</sst>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3">
    <font>
      <sz val="11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20"/>
      <color theme="1"/>
      <name val="Angsana New"/>
      <family val="1"/>
    </font>
    <font>
      <sz val="16"/>
      <color theme="2" tint="-0.249977111117893"/>
      <name val="Angsana New"/>
      <family val="1"/>
    </font>
    <font>
      <b/>
      <sz val="16"/>
      <color rgb="FFFF0000"/>
      <name val="Angsana New"/>
      <family val="1"/>
    </font>
    <font>
      <b/>
      <sz val="20"/>
      <color theme="8" tint="-0.499984740745262"/>
      <name val="Angsana New"/>
      <family val="1"/>
    </font>
    <font>
      <b/>
      <sz val="16"/>
      <color rgb="FFC00000"/>
      <name val="Angsana New"/>
      <family val="1"/>
    </font>
    <font>
      <sz val="16"/>
      <color rgb="FFC00000"/>
      <name val="Angsana New"/>
      <family val="1"/>
    </font>
    <font>
      <sz val="16"/>
      <color theme="0" tint="-0.14999847407452621"/>
      <name val="Angsana New"/>
      <family val="1"/>
    </font>
    <font>
      <sz val="14"/>
      <color rgb="FFC00000"/>
      <name val="Angsana New"/>
      <family val="1"/>
    </font>
    <font>
      <sz val="11"/>
      <color theme="1"/>
      <name val="Calibri"/>
      <family val="2"/>
      <charset val="222"/>
      <scheme val="minor"/>
    </font>
    <font>
      <sz val="16"/>
      <color theme="1"/>
      <name val="Cordia New"/>
      <family val="2"/>
    </font>
    <font>
      <b/>
      <sz val="20"/>
      <color theme="1"/>
      <name val="Cordia New"/>
      <family val="2"/>
    </font>
    <font>
      <b/>
      <sz val="18"/>
      <color theme="1"/>
      <name val="Cordia New"/>
      <family val="2"/>
    </font>
    <font>
      <sz val="18"/>
      <color theme="1"/>
      <name val="Cordia New"/>
      <family val="2"/>
    </font>
    <font>
      <b/>
      <sz val="16"/>
      <color theme="1"/>
      <name val="Cordia New"/>
      <family val="2"/>
    </font>
    <font>
      <b/>
      <sz val="14"/>
      <color theme="1"/>
      <name val="Cordia New"/>
      <family val="2"/>
    </font>
    <font>
      <b/>
      <sz val="14"/>
      <color rgb="FFFF0000"/>
      <name val="Cordia New"/>
      <family val="2"/>
    </font>
    <font>
      <sz val="16"/>
      <color rgb="FFFF0000"/>
      <name val="Cordia New"/>
      <family val="2"/>
    </font>
    <font>
      <b/>
      <sz val="16"/>
      <color rgb="FFFF0000"/>
      <name val="Cordia New"/>
      <family val="2"/>
    </font>
    <font>
      <sz val="16"/>
      <name val="Angsana New"/>
      <family val="1"/>
    </font>
    <font>
      <sz val="16"/>
      <color rgb="FFFF0000"/>
      <name val="Angsana New"/>
      <family val="1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1" fillId="0" borderId="0"/>
  </cellStyleXfs>
  <cellXfs count="23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hidden="1"/>
    </xf>
    <xf numFmtId="2" fontId="4" fillId="0" borderId="9" xfId="0" applyNumberFormat="1" applyFont="1" applyBorder="1" applyAlignment="1" applyProtection="1">
      <alignment horizontal="center" vertical="center"/>
      <protection hidden="1"/>
    </xf>
    <xf numFmtId="2" fontId="4" fillId="0" borderId="2" xfId="0" applyNumberFormat="1" applyFont="1" applyBorder="1" applyAlignment="1" applyProtection="1">
      <alignment horizontal="center" vertical="center"/>
      <protection hidden="1"/>
    </xf>
    <xf numFmtId="2" fontId="4" fillId="0" borderId="4" xfId="0" applyNumberFormat="1" applyFont="1" applyBorder="1" applyAlignment="1" applyProtection="1">
      <alignment horizontal="center" vertical="center"/>
      <protection hidden="1"/>
    </xf>
    <xf numFmtId="0" fontId="2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0" borderId="17" xfId="0" applyFont="1" applyBorder="1" applyAlignment="1" applyProtection="1">
      <alignment horizontal="center"/>
      <protection hidden="1"/>
    </xf>
    <xf numFmtId="0" fontId="1" fillId="0" borderId="1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>
      <alignment horizontal="center" vertical="center" wrapText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9" xfId="0" applyFont="1" applyBorder="1" applyAlignment="1" applyProtection="1">
      <alignment horizontal="center" vertical="center"/>
      <protection hidden="1"/>
    </xf>
    <xf numFmtId="2" fontId="4" fillId="0" borderId="7" xfId="0" applyNumberFormat="1" applyFont="1" applyBorder="1" applyAlignment="1" applyProtection="1">
      <alignment horizontal="center" vertical="center"/>
      <protection hidden="1"/>
    </xf>
    <xf numFmtId="0" fontId="1" fillId="5" borderId="2" xfId="0" applyFont="1" applyFill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 applyProtection="1">
      <alignment vertical="center"/>
      <protection locked="0"/>
    </xf>
    <xf numFmtId="0" fontId="1" fillId="5" borderId="18" xfId="0" applyFont="1" applyFill="1" applyBorder="1" applyAlignment="1" applyProtection="1">
      <alignment horizontal="center" vertical="center"/>
      <protection locked="0"/>
    </xf>
    <xf numFmtId="0" fontId="1" fillId="5" borderId="14" xfId="0" applyFont="1" applyFill="1" applyBorder="1" applyAlignment="1" applyProtection="1">
      <alignment horizontal="center" vertical="center"/>
      <protection hidden="1"/>
    </xf>
    <xf numFmtId="2" fontId="4" fillId="5" borderId="7" xfId="0" applyNumberFormat="1" applyFont="1" applyFill="1" applyBorder="1" applyAlignment="1" applyProtection="1">
      <alignment horizontal="center" vertical="center"/>
      <protection hidden="1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vertical="center"/>
    </xf>
    <xf numFmtId="0" fontId="1" fillId="6" borderId="2" xfId="0" applyFont="1" applyFill="1" applyBorder="1" applyAlignment="1" applyProtection="1">
      <alignment horizontal="center" vertical="center"/>
      <protection hidden="1"/>
    </xf>
    <xf numFmtId="2" fontId="4" fillId="6" borderId="2" xfId="0" applyNumberFormat="1" applyFont="1" applyFill="1" applyBorder="1" applyAlignment="1" applyProtection="1">
      <alignment horizontal="center" vertical="center"/>
      <protection hidden="1"/>
    </xf>
    <xf numFmtId="0" fontId="1" fillId="6" borderId="18" xfId="0" applyFont="1" applyFill="1" applyBorder="1" applyAlignment="1" applyProtection="1">
      <alignment horizontal="center"/>
      <protection hidden="1"/>
    </xf>
    <xf numFmtId="0" fontId="1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0" fontId="1" fillId="6" borderId="4" xfId="0" applyFont="1" applyFill="1" applyBorder="1" applyAlignment="1" applyProtection="1">
      <alignment horizontal="center" vertical="center"/>
      <protection hidden="1"/>
    </xf>
    <xf numFmtId="2" fontId="4" fillId="6" borderId="4" xfId="0" applyNumberFormat="1" applyFont="1" applyFill="1" applyBorder="1" applyAlignment="1" applyProtection="1">
      <alignment horizontal="center" vertical="center"/>
      <protection hidden="1"/>
    </xf>
    <xf numFmtId="0" fontId="1" fillId="6" borderId="4" xfId="0" applyFont="1" applyFill="1" applyBorder="1" applyAlignment="1" applyProtection="1">
      <alignment horizontal="center"/>
      <protection hidden="1"/>
    </xf>
    <xf numFmtId="0" fontId="1" fillId="6" borderId="2" xfId="0" applyFont="1" applyFill="1" applyBorder="1" applyAlignment="1" applyProtection="1">
      <alignment horizontal="center" vertical="center"/>
      <protection locked="0"/>
    </xf>
    <xf numFmtId="0" fontId="1" fillId="6" borderId="2" xfId="0" applyFont="1" applyFill="1" applyBorder="1" applyAlignment="1" applyProtection="1">
      <alignment vertical="center"/>
      <protection locked="0"/>
    </xf>
    <xf numFmtId="0" fontId="5" fillId="0" borderId="0" xfId="0" applyFont="1" applyAlignment="1">
      <alignment horizontal="center" vertical="center"/>
    </xf>
    <xf numFmtId="1" fontId="1" fillId="5" borderId="3" xfId="0" applyNumberFormat="1" applyFont="1" applyFill="1" applyBorder="1" applyAlignment="1" applyProtection="1">
      <alignment horizontal="center"/>
      <protection hidden="1"/>
    </xf>
    <xf numFmtId="2" fontId="1" fillId="0" borderId="18" xfId="0" applyNumberFormat="1" applyFont="1" applyBorder="1" applyAlignment="1" applyProtection="1">
      <alignment horizontal="center"/>
      <protection hidden="1"/>
    </xf>
    <xf numFmtId="1" fontId="1" fillId="5" borderId="18" xfId="0" applyNumberFormat="1" applyFont="1" applyFill="1" applyBorder="1" applyAlignment="1" applyProtection="1">
      <alignment horizontal="center"/>
      <protection hidden="1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1" fillId="7" borderId="3" xfId="0" applyFont="1" applyFill="1" applyBorder="1" applyAlignment="1" applyProtection="1">
      <alignment horizontal="center"/>
      <protection hidden="1"/>
    </xf>
    <xf numFmtId="0" fontId="1" fillId="4" borderId="7" xfId="0" applyFont="1" applyFill="1" applyBorder="1" applyAlignment="1" applyProtection="1">
      <alignment horizontal="center" vertical="center"/>
      <protection locked="0"/>
    </xf>
    <xf numFmtId="0" fontId="1" fillId="4" borderId="7" xfId="0" applyFont="1" applyFill="1" applyBorder="1" applyAlignment="1" applyProtection="1">
      <alignment vertical="center"/>
      <protection locked="0"/>
    </xf>
    <xf numFmtId="0" fontId="1" fillId="6" borderId="0" xfId="0" applyFont="1" applyFill="1" applyAlignment="1">
      <alignment vertical="center"/>
    </xf>
    <xf numFmtId="164" fontId="1" fillId="0" borderId="18" xfId="0" applyNumberFormat="1" applyFont="1" applyBorder="1" applyAlignment="1" applyProtection="1">
      <alignment horizontal="center"/>
      <protection hidden="1"/>
    </xf>
    <xf numFmtId="164" fontId="1" fillId="0" borderId="19" xfId="0" applyNumberFormat="1" applyFont="1" applyBorder="1" applyAlignment="1" applyProtection="1">
      <alignment horizontal="center"/>
      <protection hidden="1"/>
    </xf>
    <xf numFmtId="1" fontId="1" fillId="0" borderId="18" xfId="0" applyNumberFormat="1" applyFont="1" applyBorder="1" applyAlignment="1" applyProtection="1">
      <alignment horizontal="center"/>
      <protection hidden="1"/>
    </xf>
    <xf numFmtId="164" fontId="1" fillId="0" borderId="15" xfId="0" applyNumberFormat="1" applyFont="1" applyBorder="1" applyAlignment="1" applyProtection="1">
      <alignment horizontal="center"/>
      <protection hidden="1"/>
    </xf>
    <xf numFmtId="164" fontId="1" fillId="0" borderId="21" xfId="0" applyNumberFormat="1" applyFont="1" applyBorder="1" applyAlignment="1" applyProtection="1">
      <alignment horizontal="center"/>
      <protection hidden="1"/>
    </xf>
    <xf numFmtId="2" fontId="9" fillId="0" borderId="7" xfId="0" applyNumberFormat="1" applyFont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8" fillId="6" borderId="2" xfId="0" applyFont="1" applyFill="1" applyBorder="1" applyAlignment="1" applyProtection="1">
      <alignment horizontal="center" vertical="center"/>
      <protection locked="0"/>
    </xf>
    <xf numFmtId="0" fontId="8" fillId="6" borderId="18" xfId="0" applyFont="1" applyFill="1" applyBorder="1" applyAlignment="1" applyProtection="1">
      <alignment horizontal="center" vertical="center"/>
      <protection locked="0"/>
    </xf>
    <xf numFmtId="0" fontId="8" fillId="6" borderId="14" xfId="0" applyFont="1" applyFill="1" applyBorder="1" applyAlignment="1" applyProtection="1">
      <alignment horizontal="center" vertical="center"/>
      <protection hidden="1"/>
    </xf>
    <xf numFmtId="2" fontId="8" fillId="6" borderId="7" xfId="0" applyNumberFormat="1" applyFont="1" applyFill="1" applyBorder="1" applyAlignment="1" applyProtection="1">
      <alignment horizontal="center" vertical="center"/>
      <protection hidden="1"/>
    </xf>
    <xf numFmtId="1" fontId="8" fillId="6" borderId="18" xfId="0" applyNumberFormat="1" applyFont="1" applyFill="1" applyBorder="1" applyAlignment="1" applyProtection="1">
      <alignment horizontal="center"/>
      <protection hidden="1"/>
    </xf>
    <xf numFmtId="0" fontId="8" fillId="6" borderId="2" xfId="0" applyFont="1" applyFill="1" applyBorder="1" applyAlignment="1" applyProtection="1">
      <alignment horizontal="center" vertical="center"/>
      <protection hidden="1"/>
    </xf>
    <xf numFmtId="2" fontId="8" fillId="6" borderId="2" xfId="0" applyNumberFormat="1" applyFont="1" applyFill="1" applyBorder="1" applyAlignment="1" applyProtection="1">
      <alignment horizontal="center" vertical="center"/>
      <protection hidden="1"/>
    </xf>
    <xf numFmtId="0" fontId="8" fillId="6" borderId="18" xfId="0" applyFont="1" applyFill="1" applyBorder="1" applyAlignment="1" applyProtection="1">
      <alignment horizontal="center"/>
      <protection hidden="1"/>
    </xf>
    <xf numFmtId="0" fontId="1" fillId="0" borderId="24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2" fillId="0" borderId="0" xfId="2" applyFont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0" fontId="12" fillId="0" borderId="0" xfId="2" applyFont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2" fillId="0" borderId="2" xfId="2" applyNumberFormat="1" applyFont="1" applyBorder="1" applyAlignment="1">
      <alignment horizontal="center" vertical="center"/>
    </xf>
    <xf numFmtId="9" fontId="12" fillId="0" borderId="26" xfId="2" applyNumberFormat="1" applyFont="1" applyBorder="1" applyAlignment="1">
      <alignment vertical="center"/>
    </xf>
    <xf numFmtId="0" fontId="12" fillId="0" borderId="0" xfId="2" applyFont="1" applyBorder="1" applyAlignment="1">
      <alignment horizontal="center" vertical="center"/>
    </xf>
    <xf numFmtId="2" fontId="12" fillId="0" borderId="0" xfId="2" applyNumberFormat="1" applyFont="1" applyBorder="1" applyAlignment="1">
      <alignment horizontal="center" vertical="center"/>
    </xf>
    <xf numFmtId="0" fontId="12" fillId="0" borderId="0" xfId="2" applyNumberFormat="1" applyFont="1" applyBorder="1" applyAlignment="1">
      <alignment horizontal="center" vertical="center"/>
    </xf>
    <xf numFmtId="2" fontId="12" fillId="0" borderId="30" xfId="2" applyNumberFormat="1" applyFont="1" applyBorder="1" applyAlignment="1">
      <alignment horizontal="center" vertical="center"/>
    </xf>
    <xf numFmtId="10" fontId="12" fillId="0" borderId="30" xfId="2" applyNumberFormat="1" applyFont="1" applyBorder="1" applyAlignment="1">
      <alignment horizontal="center" vertical="center"/>
    </xf>
    <xf numFmtId="0" fontId="12" fillId="0" borderId="25" xfId="2" applyFont="1" applyBorder="1" applyAlignment="1">
      <alignment horizontal="center" vertical="center"/>
    </xf>
    <xf numFmtId="0" fontId="12" fillId="0" borderId="25" xfId="2" applyNumberFormat="1" applyFont="1" applyBorder="1" applyAlignment="1">
      <alignment horizontal="center" vertical="center"/>
    </xf>
    <xf numFmtId="10" fontId="12" fillId="0" borderId="2" xfId="1" applyNumberFormat="1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10" fontId="12" fillId="0" borderId="18" xfId="1" applyNumberFormat="1" applyFont="1" applyBorder="1" applyAlignment="1">
      <alignment horizontal="center" vertical="center"/>
    </xf>
    <xf numFmtId="10" fontId="12" fillId="0" borderId="25" xfId="1" applyNumberFormat="1" applyFont="1" applyBorder="1" applyAlignment="1">
      <alignment horizontal="center" vertical="center"/>
    </xf>
    <xf numFmtId="10" fontId="12" fillId="0" borderId="27" xfId="1" applyNumberFormat="1" applyFont="1" applyBorder="1" applyAlignment="1">
      <alignment horizontal="center" vertical="center"/>
    </xf>
    <xf numFmtId="0" fontId="2" fillId="2" borderId="20" xfId="0" applyFont="1" applyFill="1" applyBorder="1" applyAlignment="1">
      <alignment vertical="center"/>
    </xf>
    <xf numFmtId="0" fontId="12" fillId="0" borderId="25" xfId="1" applyNumberFormat="1" applyFont="1" applyBorder="1" applyAlignment="1">
      <alignment horizontal="center" vertical="center"/>
    </xf>
    <xf numFmtId="0" fontId="1" fillId="0" borderId="15" xfId="0" applyFont="1" applyBorder="1" applyAlignment="1" applyProtection="1">
      <alignment horizontal="center"/>
      <protection hidden="1"/>
    </xf>
    <xf numFmtId="0" fontId="10" fillId="6" borderId="18" xfId="0" applyFont="1" applyFill="1" applyBorder="1" applyAlignment="1">
      <alignment horizontal="center" vertical="center"/>
    </xf>
    <xf numFmtId="0" fontId="7" fillId="0" borderId="18" xfId="0" applyFont="1" applyBorder="1" applyAlignment="1" applyProtection="1">
      <alignment horizontal="center"/>
      <protection hidden="1"/>
    </xf>
    <xf numFmtId="0" fontId="1" fillId="6" borderId="19" xfId="0" applyFont="1" applyFill="1" applyBorder="1" applyAlignment="1" applyProtection="1">
      <alignment horizontal="center"/>
      <protection hidden="1"/>
    </xf>
    <xf numFmtId="0" fontId="1" fillId="8" borderId="3" xfId="0" applyFont="1" applyFill="1" applyBorder="1" applyAlignment="1" applyProtection="1">
      <alignment horizontal="center"/>
      <protection hidden="1"/>
    </xf>
    <xf numFmtId="9" fontId="12" fillId="0" borderId="26" xfId="2" applyNumberFormat="1" applyFont="1" applyBorder="1" applyAlignment="1">
      <alignment horizontal="left" vertical="center"/>
    </xf>
    <xf numFmtId="43" fontId="12" fillId="0" borderId="2" xfId="1" applyNumberFormat="1" applyFont="1" applyBorder="1" applyAlignment="1">
      <alignment horizontal="center" vertical="center"/>
    </xf>
    <xf numFmtId="0" fontId="16" fillId="0" borderId="2" xfId="2" applyFont="1" applyBorder="1" applyAlignment="1">
      <alignment horizontal="center" vertical="center"/>
    </xf>
    <xf numFmtId="0" fontId="17" fillId="0" borderId="2" xfId="2" applyFont="1" applyBorder="1" applyAlignment="1">
      <alignment horizontal="center" vertical="center"/>
    </xf>
    <xf numFmtId="10" fontId="16" fillId="0" borderId="2" xfId="1" applyNumberFormat="1" applyFont="1" applyBorder="1" applyAlignment="1">
      <alignment horizontal="center" vertical="center"/>
    </xf>
    <xf numFmtId="0" fontId="16" fillId="0" borderId="2" xfId="2" applyNumberFormat="1" applyFont="1" applyBorder="1" applyAlignment="1">
      <alignment horizontal="center" vertical="center"/>
    </xf>
    <xf numFmtId="10" fontId="16" fillId="0" borderId="18" xfId="1" applyNumberFormat="1" applyFont="1" applyBorder="1" applyAlignment="1">
      <alignment horizontal="center" vertical="center"/>
    </xf>
    <xf numFmtId="0" fontId="16" fillId="0" borderId="2" xfId="1" applyNumberFormat="1" applyFont="1" applyBorder="1" applyAlignment="1">
      <alignment horizontal="center" vertical="center"/>
    </xf>
    <xf numFmtId="10" fontId="16" fillId="0" borderId="26" xfId="2" applyNumberFormat="1" applyFont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/>
    </xf>
    <xf numFmtId="0" fontId="18" fillId="0" borderId="2" xfId="2" applyFont="1" applyBorder="1" applyAlignment="1">
      <alignment horizontal="center" vertical="center"/>
    </xf>
    <xf numFmtId="0" fontId="19" fillId="0" borderId="2" xfId="2" applyNumberFormat="1" applyFont="1" applyBorder="1" applyAlignment="1">
      <alignment horizontal="center" vertical="center"/>
    </xf>
    <xf numFmtId="10" fontId="19" fillId="0" borderId="18" xfId="1" applyNumberFormat="1" applyFont="1" applyBorder="1" applyAlignment="1">
      <alignment horizontal="center" vertical="center"/>
    </xf>
    <xf numFmtId="0" fontId="19" fillId="0" borderId="25" xfId="2" applyNumberFormat="1" applyFont="1" applyBorder="1" applyAlignment="1">
      <alignment horizontal="center" vertical="center"/>
    </xf>
    <xf numFmtId="10" fontId="19" fillId="0" borderId="27" xfId="1" applyNumberFormat="1" applyFont="1" applyBorder="1" applyAlignment="1">
      <alignment horizontal="center" vertical="center"/>
    </xf>
    <xf numFmtId="0" fontId="20" fillId="0" borderId="2" xfId="2" applyNumberFormat="1" applyFont="1" applyBorder="1" applyAlignment="1">
      <alignment horizontal="center" vertical="center"/>
    </xf>
    <xf numFmtId="10" fontId="20" fillId="0" borderId="18" xfId="1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 applyProtection="1">
      <alignment horizontal="center" vertical="center"/>
      <protection locked="0"/>
    </xf>
    <xf numFmtId="0" fontId="1" fillId="6" borderId="7" xfId="0" applyFont="1" applyFill="1" applyBorder="1" applyAlignment="1" applyProtection="1">
      <alignment vertical="center"/>
      <protection locked="0"/>
    </xf>
    <xf numFmtId="0" fontId="21" fillId="0" borderId="7" xfId="0" applyFont="1" applyBorder="1" applyAlignment="1" applyProtection="1">
      <alignment horizontal="center" vertical="center"/>
      <protection locked="0"/>
    </xf>
    <xf numFmtId="0" fontId="21" fillId="0" borderId="14" xfId="0" applyFont="1" applyBorder="1" applyAlignment="1" applyProtection="1">
      <alignment horizontal="center" vertical="center"/>
      <protection locked="0"/>
    </xf>
    <xf numFmtId="0" fontId="21" fillId="0" borderId="2" xfId="0" applyFont="1" applyBorder="1" applyAlignment="1" applyProtection="1">
      <alignment horizontal="center" vertical="center"/>
      <protection locked="0"/>
    </xf>
    <xf numFmtId="0" fontId="21" fillId="0" borderId="18" xfId="0" applyFont="1" applyBorder="1" applyAlignment="1" applyProtection="1">
      <alignment horizontal="center" vertical="center"/>
      <protection locked="0"/>
    </xf>
    <xf numFmtId="0" fontId="21" fillId="5" borderId="2" xfId="0" applyFont="1" applyFill="1" applyBorder="1" applyAlignment="1" applyProtection="1">
      <alignment horizontal="center" vertical="center"/>
      <protection locked="0"/>
    </xf>
    <xf numFmtId="0" fontId="21" fillId="5" borderId="18" xfId="0" applyFont="1" applyFill="1" applyBorder="1" applyAlignment="1" applyProtection="1">
      <alignment horizontal="center" vertical="center"/>
      <protection locked="0"/>
    </xf>
    <xf numFmtId="0" fontId="21" fillId="6" borderId="2" xfId="0" applyFont="1" applyFill="1" applyBorder="1" applyAlignment="1" applyProtection="1">
      <alignment horizontal="center" vertical="center"/>
      <protection locked="0"/>
    </xf>
    <xf numFmtId="0" fontId="21" fillId="6" borderId="18" xfId="0" applyFont="1" applyFill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center" vertical="center"/>
      <protection locked="0"/>
    </xf>
    <xf numFmtId="0" fontId="21" fillId="0" borderId="19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>
      <alignment horizontal="center" vertical="center"/>
    </xf>
    <xf numFmtId="0" fontId="2" fillId="2" borderId="36" xfId="0" applyFont="1" applyFill="1" applyBorder="1" applyAlignment="1">
      <alignment vertical="center"/>
    </xf>
    <xf numFmtId="0" fontId="7" fillId="0" borderId="37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center" vertical="center" wrapText="1"/>
    </xf>
    <xf numFmtId="2" fontId="21" fillId="0" borderId="14" xfId="0" applyNumberFormat="1" applyFont="1" applyBorder="1" applyAlignment="1" applyProtection="1">
      <alignment horizontal="center" vertical="center"/>
      <protection locked="0"/>
    </xf>
    <xf numFmtId="164" fontId="22" fillId="0" borderId="7" xfId="0" applyNumberFormat="1" applyFont="1" applyBorder="1" applyAlignment="1" applyProtection="1">
      <alignment horizontal="center" vertical="center"/>
      <protection locked="0"/>
    </xf>
    <xf numFmtId="1" fontId="22" fillId="0" borderId="7" xfId="0" applyNumberFormat="1" applyFont="1" applyBorder="1" applyAlignment="1" applyProtection="1">
      <alignment horizontal="center" vertical="center"/>
      <protection locked="0"/>
    </xf>
    <xf numFmtId="164" fontId="21" fillId="0" borderId="7" xfId="0" applyNumberFormat="1" applyFont="1" applyBorder="1" applyAlignment="1" applyProtection="1">
      <alignment horizontal="center" vertical="center"/>
      <protection locked="0"/>
    </xf>
    <xf numFmtId="1" fontId="21" fillId="0" borderId="7" xfId="0" applyNumberFormat="1" applyFont="1" applyBorder="1" applyAlignment="1" applyProtection="1">
      <alignment horizontal="center" vertical="center"/>
      <protection locked="0"/>
    </xf>
    <xf numFmtId="164" fontId="1" fillId="5" borderId="2" xfId="0" applyNumberFormat="1" applyFont="1" applyFill="1" applyBorder="1" applyAlignment="1" applyProtection="1">
      <alignment vertical="center"/>
      <protection locked="0"/>
    </xf>
    <xf numFmtId="164" fontId="21" fillId="0" borderId="12" xfId="0" applyNumberFormat="1" applyFont="1" applyBorder="1" applyAlignment="1" applyProtection="1">
      <alignment horizontal="center" vertical="center"/>
      <protection locked="0"/>
    </xf>
    <xf numFmtId="2" fontId="21" fillId="0" borderId="38" xfId="0" applyNumberFormat="1" applyFont="1" applyBorder="1" applyAlignment="1" applyProtection="1">
      <alignment horizontal="center" vertical="center"/>
      <protection locked="0"/>
    </xf>
    <xf numFmtId="0" fontId="1" fillId="9" borderId="2" xfId="0" applyFont="1" applyFill="1" applyBorder="1" applyAlignment="1" applyProtection="1">
      <alignment horizontal="center" vertical="center"/>
      <protection locked="0"/>
    </xf>
    <xf numFmtId="0" fontId="1" fillId="9" borderId="2" xfId="0" applyFont="1" applyFill="1" applyBorder="1" applyAlignment="1" applyProtection="1">
      <alignment vertical="center"/>
      <protection locked="0"/>
    </xf>
    <xf numFmtId="0" fontId="7" fillId="9" borderId="3" xfId="0" applyFont="1" applyFill="1" applyBorder="1" applyAlignment="1" applyProtection="1">
      <alignment horizontal="center"/>
      <protection hidden="1"/>
    </xf>
    <xf numFmtId="0" fontId="2" fillId="2" borderId="27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vertical="center"/>
    </xf>
    <xf numFmtId="0" fontId="1" fillId="0" borderId="40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hidden="1"/>
    </xf>
    <xf numFmtId="2" fontId="4" fillId="6" borderId="1" xfId="0" applyNumberFormat="1" applyFont="1" applyFill="1" applyBorder="1" applyAlignment="1" applyProtection="1">
      <alignment horizontal="center" vertical="center"/>
      <protection hidden="1"/>
    </xf>
    <xf numFmtId="0" fontId="1" fillId="6" borderId="1" xfId="0" applyFont="1" applyFill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6" borderId="24" xfId="0" applyFont="1" applyFill="1" applyBorder="1" applyAlignment="1">
      <alignment horizontal="center" vertical="center"/>
    </xf>
    <xf numFmtId="0" fontId="1" fillId="6" borderId="2" xfId="0" applyFont="1" applyFill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1" fillId="0" borderId="2" xfId="0" applyFont="1" applyBorder="1" applyAlignment="1">
      <alignment vertical="center"/>
    </xf>
    <xf numFmtId="0" fontId="1" fillId="7" borderId="2" xfId="0" applyFont="1" applyFill="1" applyBorder="1" applyAlignment="1" applyProtection="1">
      <alignment horizontal="center"/>
      <protection hidden="1"/>
    </xf>
    <xf numFmtId="0" fontId="1" fillId="0" borderId="41" xfId="0" applyFont="1" applyBorder="1" applyAlignment="1">
      <alignment horizontal="center" vertical="center"/>
    </xf>
    <xf numFmtId="0" fontId="1" fillId="0" borderId="4" xfId="0" applyFont="1" applyBorder="1" applyAlignment="1" applyProtection="1">
      <alignment horizontal="center"/>
      <protection hidden="1"/>
    </xf>
    <xf numFmtId="0" fontId="1" fillId="0" borderId="4" xfId="0" applyFont="1" applyBorder="1" applyAlignment="1">
      <alignment vertical="center"/>
    </xf>
    <xf numFmtId="0" fontId="1" fillId="7" borderId="4" xfId="0" applyFont="1" applyFill="1" applyBorder="1" applyAlignment="1" applyProtection="1">
      <alignment horizontal="center"/>
      <protection hidden="1"/>
    </xf>
    <xf numFmtId="0" fontId="1" fillId="6" borderId="9" xfId="0" applyFont="1" applyFill="1" applyBorder="1" applyAlignment="1" applyProtection="1">
      <alignment horizontal="center" vertical="center"/>
      <protection locked="0"/>
    </xf>
    <xf numFmtId="0" fontId="1" fillId="6" borderId="4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center" vertical="center"/>
    </xf>
    <xf numFmtId="1" fontId="21" fillId="0" borderId="14" xfId="0" applyNumberFormat="1" applyFont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11" borderId="3" xfId="0" applyFont="1" applyFill="1" applyBorder="1" applyAlignment="1" applyProtection="1">
      <alignment horizontal="center"/>
      <protection hidden="1"/>
    </xf>
    <xf numFmtId="164" fontId="21" fillId="0" borderId="14" xfId="0" applyNumberFormat="1" applyFont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17" fillId="0" borderId="25" xfId="2" applyFont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17" fillId="0" borderId="25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2" fillId="0" borderId="25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7" fillId="0" borderId="18" xfId="2" applyFont="1" applyBorder="1" applyAlignment="1">
      <alignment horizontal="center" vertical="center"/>
    </xf>
    <xf numFmtId="0" fontId="17" fillId="0" borderId="31" xfId="2" applyFont="1" applyBorder="1" applyAlignment="1">
      <alignment horizontal="center" vertical="center"/>
    </xf>
    <xf numFmtId="0" fontId="17" fillId="0" borderId="26" xfId="2" applyFont="1" applyBorder="1" applyAlignment="1">
      <alignment horizontal="center" vertical="center"/>
    </xf>
    <xf numFmtId="0" fontId="13" fillId="0" borderId="0" xfId="2" applyFont="1" applyAlignment="1">
      <alignment horizontal="center"/>
    </xf>
    <xf numFmtId="0" fontId="17" fillId="0" borderId="27" xfId="2" applyFont="1" applyBorder="1" applyAlignment="1">
      <alignment horizontal="center" vertical="center"/>
    </xf>
    <xf numFmtId="0" fontId="17" fillId="0" borderId="28" xfId="2" applyFont="1" applyBorder="1" applyAlignment="1">
      <alignment horizontal="center" vertical="center"/>
    </xf>
    <xf numFmtId="0" fontId="17" fillId="0" borderId="14" xfId="2" applyFont="1" applyBorder="1" applyAlignment="1">
      <alignment horizontal="center" vertical="center"/>
    </xf>
    <xf numFmtId="0" fontId="17" fillId="0" borderId="29" xfId="2" applyFont="1" applyBorder="1" applyAlignment="1">
      <alignment horizontal="center" vertical="center"/>
    </xf>
    <xf numFmtId="9" fontId="12" fillId="0" borderId="27" xfId="2" applyNumberFormat="1" applyFont="1" applyBorder="1" applyAlignment="1">
      <alignment horizontal="left" vertical="center"/>
    </xf>
    <xf numFmtId="9" fontId="12" fillId="0" borderId="28" xfId="2" applyNumberFormat="1" applyFont="1" applyBorder="1" applyAlignment="1">
      <alignment horizontal="left" vertical="center"/>
    </xf>
    <xf numFmtId="9" fontId="12" fillId="0" borderId="18" xfId="2" applyNumberFormat="1" applyFont="1" applyBorder="1" applyAlignment="1">
      <alignment horizontal="center" vertical="center"/>
    </xf>
    <xf numFmtId="9" fontId="12" fillId="0" borderId="26" xfId="2" applyNumberFormat="1" applyFont="1" applyBorder="1" applyAlignment="1">
      <alignment horizontal="center" vertical="center"/>
    </xf>
    <xf numFmtId="10" fontId="12" fillId="0" borderId="18" xfId="2" applyNumberFormat="1" applyFont="1" applyBorder="1" applyAlignment="1">
      <alignment horizontal="center" vertical="center" wrapText="1"/>
    </xf>
    <xf numFmtId="10" fontId="12" fillId="0" borderId="26" xfId="2" applyNumberFormat="1" applyFont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3" fillId="10" borderId="32" xfId="0" applyFont="1" applyFill="1" applyBorder="1" applyAlignment="1">
      <alignment horizontal="center" vertical="center"/>
    </xf>
    <xf numFmtId="0" fontId="3" fillId="10" borderId="33" xfId="0" applyFont="1" applyFill="1" applyBorder="1" applyAlignment="1">
      <alignment horizontal="center" vertical="center"/>
    </xf>
    <xf numFmtId="0" fontId="13" fillId="4" borderId="0" xfId="2" applyFont="1" applyFill="1" applyAlignment="1">
      <alignment horizontal="center" vertical="center"/>
    </xf>
  </cellXfs>
  <cellStyles count="3">
    <cellStyle name="Normal" xfId="0" builtinId="0"/>
    <cellStyle name="Normal 3" xfId="2" xr:uid="{BD012BAE-1042-4AAA-B85E-D872EDF1EC41}"/>
    <cellStyle name="Percent" xfId="1" builtinId="5"/>
  </cellStyles>
  <dxfs count="16">
    <dxf>
      <font>
        <b/>
        <i val="0"/>
        <color rgb="FF9C0006"/>
      </font>
      <fill>
        <patternFill>
          <bgColor theme="0"/>
        </patternFill>
      </fill>
    </dxf>
    <dxf>
      <font>
        <b/>
        <i val="0"/>
        <color rgb="FF9C0006"/>
      </font>
      <fill>
        <patternFill>
          <bgColor theme="0"/>
        </patternFill>
      </fill>
    </dxf>
    <dxf>
      <font>
        <b/>
        <i val="0"/>
        <color rgb="FF9C0006"/>
      </font>
      <fill>
        <patternFill>
          <bgColor theme="0"/>
        </patternFill>
      </fill>
    </dxf>
    <dxf>
      <font>
        <b/>
        <i val="0"/>
        <color rgb="FF9C0006"/>
      </font>
      <fill>
        <patternFill>
          <bgColor theme="0"/>
        </patternFill>
      </fill>
    </dxf>
    <dxf>
      <font>
        <b/>
        <i val="0"/>
        <color rgb="FFC00000"/>
      </font>
      <fill>
        <patternFill>
          <bgColor theme="0"/>
        </patternFill>
      </fill>
    </dxf>
    <dxf>
      <font>
        <b/>
        <i val="0"/>
        <color rgb="FF9C0006"/>
      </font>
      <fill>
        <patternFill>
          <bgColor theme="0"/>
        </patternFill>
      </fill>
    </dxf>
    <dxf>
      <font>
        <b/>
        <i val="0"/>
        <color rgb="FF9C0006"/>
      </font>
      <fill>
        <patternFill>
          <bgColor theme="0"/>
        </patternFill>
      </fill>
    </dxf>
    <dxf>
      <font>
        <b/>
        <i val="0"/>
        <color rgb="FF9C0006"/>
      </font>
      <fill>
        <patternFill>
          <bgColor theme="0"/>
        </patternFill>
      </fill>
    </dxf>
    <dxf>
      <font>
        <b/>
        <i val="0"/>
        <color rgb="FF9C0006"/>
      </font>
      <fill>
        <patternFill>
          <bgColor theme="0"/>
        </patternFill>
      </fill>
    </dxf>
    <dxf>
      <font>
        <b/>
        <i val="0"/>
        <color rgb="FFC00000"/>
      </font>
      <fill>
        <patternFill>
          <bgColor theme="0"/>
        </patternFill>
      </fill>
    </dxf>
    <dxf>
      <font>
        <b/>
        <i val="0"/>
        <color rgb="FF9C0006"/>
      </font>
      <fill>
        <patternFill>
          <bgColor theme="0"/>
        </patternFill>
      </fill>
    </dxf>
    <dxf>
      <font>
        <b/>
        <i val="0"/>
        <color rgb="FF9C0006"/>
      </font>
      <fill>
        <patternFill>
          <bgColor theme="0"/>
        </patternFill>
      </fill>
    </dxf>
    <dxf>
      <font>
        <b/>
        <i val="0"/>
        <color rgb="FF9C0006"/>
      </font>
      <fill>
        <patternFill>
          <bgColor theme="0"/>
        </patternFill>
      </fill>
    </dxf>
    <dxf>
      <font>
        <b/>
        <i val="0"/>
        <color rgb="FF9C0006"/>
      </font>
      <fill>
        <patternFill>
          <bgColor theme="0"/>
        </patternFill>
      </fill>
    </dxf>
    <dxf>
      <font>
        <b/>
        <i val="0"/>
        <color rgb="FF9C0006"/>
      </font>
      <fill>
        <patternFill>
          <bgColor theme="0"/>
        </patternFill>
      </fill>
    </dxf>
    <dxf>
      <font>
        <b/>
        <i val="0"/>
        <color rgb="FFC0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C5EC-761B-4664-80D3-E3984F4FF443}">
  <sheetPr>
    <tabColor theme="8" tint="0.59999389629810485"/>
  </sheetPr>
  <dimension ref="A1:Q28"/>
  <sheetViews>
    <sheetView zoomScale="90" zoomScaleNormal="90" workbookViewId="0">
      <selection activeCell="T9" sqref="T9"/>
    </sheetView>
  </sheetViews>
  <sheetFormatPr defaultColWidth="9.44140625" defaultRowHeight="23.4"/>
  <cols>
    <col min="1" max="2" width="9.44140625" style="2"/>
    <col min="3" max="3" width="31.5546875" style="1" customWidth="1"/>
    <col min="4" max="6" width="10" style="2" customWidth="1"/>
    <col min="7" max="7" width="9.44140625" style="1"/>
    <col min="8" max="8" width="9.44140625" style="2" hidden="1" customWidth="1"/>
    <col min="9" max="9" width="9.44140625" style="2"/>
    <col min="10" max="10" width="21.21875" style="1" customWidth="1"/>
    <col min="11" max="16384" width="9.44140625" style="1"/>
  </cols>
  <sheetData>
    <row r="1" spans="1:17" ht="29.4" thickBot="1">
      <c r="A1" s="192" t="s">
        <v>84</v>
      </c>
      <c r="B1" s="193"/>
      <c r="C1" s="193"/>
      <c r="D1" s="193"/>
      <c r="E1" s="193"/>
      <c r="F1" s="193"/>
      <c r="G1" s="193"/>
      <c r="H1" s="193"/>
      <c r="I1" s="193"/>
      <c r="J1" s="194"/>
    </row>
    <row r="2" spans="1:17" s="5" customFormat="1" ht="46.8">
      <c r="A2" s="188" t="s">
        <v>0</v>
      </c>
      <c r="B2" s="190" t="s">
        <v>1</v>
      </c>
      <c r="C2" s="190" t="s">
        <v>2</v>
      </c>
      <c r="D2" s="70" t="s">
        <v>3</v>
      </c>
      <c r="E2" s="21" t="s">
        <v>4</v>
      </c>
      <c r="F2" s="23" t="s">
        <v>83</v>
      </c>
      <c r="G2" s="30" t="s">
        <v>29</v>
      </c>
      <c r="H2" s="70" t="s">
        <v>30</v>
      </c>
      <c r="I2" s="23" t="s">
        <v>30</v>
      </c>
      <c r="J2" s="82" t="s">
        <v>81</v>
      </c>
    </row>
    <row r="3" spans="1:17" s="5" customFormat="1" ht="24" thickBot="1">
      <c r="A3" s="189"/>
      <c r="B3" s="191"/>
      <c r="C3" s="191"/>
      <c r="D3" s="7">
        <v>60</v>
      </c>
      <c r="E3" s="7">
        <v>40</v>
      </c>
      <c r="F3" s="24">
        <v>30</v>
      </c>
      <c r="G3" s="24">
        <f t="shared" ref="G3:G8" si="0">SUM(D3:F3)</f>
        <v>130</v>
      </c>
      <c r="H3" s="7">
        <v>100</v>
      </c>
      <c r="I3" s="24">
        <v>100</v>
      </c>
      <c r="J3" s="104"/>
      <c r="K3" s="51"/>
      <c r="L3" s="51"/>
      <c r="M3" s="51"/>
      <c r="N3" s="51"/>
      <c r="O3" s="51"/>
      <c r="P3" s="51"/>
    </row>
    <row r="4" spans="1:17">
      <c r="A4" s="4">
        <v>1</v>
      </c>
      <c r="B4" s="59">
        <v>1730</v>
      </c>
      <c r="C4" s="60" t="s">
        <v>5</v>
      </c>
      <c r="D4" s="8">
        <v>56</v>
      </c>
      <c r="E4" s="8">
        <v>34</v>
      </c>
      <c r="F4" s="16">
        <v>26</v>
      </c>
      <c r="G4" s="31">
        <f t="shared" si="0"/>
        <v>116</v>
      </c>
      <c r="H4" s="33">
        <f>G4*$H$3/$G$3</f>
        <v>89.230769230769226</v>
      </c>
      <c r="I4" s="65">
        <f>CEILING(H4,0.5)</f>
        <v>89.5</v>
      </c>
      <c r="J4" s="57" t="s">
        <v>85</v>
      </c>
    </row>
    <row r="5" spans="1:17">
      <c r="A5" s="80">
        <v>2</v>
      </c>
      <c r="B5" s="10">
        <v>5540</v>
      </c>
      <c r="C5" s="11" t="s">
        <v>6</v>
      </c>
      <c r="D5" s="10">
        <v>60</v>
      </c>
      <c r="E5" s="10">
        <v>38</v>
      </c>
      <c r="F5" s="28">
        <v>29</v>
      </c>
      <c r="G5" s="31">
        <f t="shared" si="0"/>
        <v>127</v>
      </c>
      <c r="H5" s="33">
        <f>G5*$H$3/$G$3</f>
        <v>97.692307692307693</v>
      </c>
      <c r="I5" s="64">
        <f t="shared" ref="I5:I8" si="1">CEILING(H5,0.5)</f>
        <v>98</v>
      </c>
      <c r="J5" s="55"/>
    </row>
    <row r="6" spans="1:17">
      <c r="A6" s="80">
        <v>3</v>
      </c>
      <c r="B6" s="10">
        <v>9038</v>
      </c>
      <c r="C6" s="11" t="s">
        <v>7</v>
      </c>
      <c r="D6" s="10">
        <v>60</v>
      </c>
      <c r="E6" s="10">
        <v>39</v>
      </c>
      <c r="F6" s="28">
        <v>29</v>
      </c>
      <c r="G6" s="31">
        <f t="shared" si="0"/>
        <v>128</v>
      </c>
      <c r="H6" s="33">
        <f>G6*$H$3/$G$3</f>
        <v>98.461538461538467</v>
      </c>
      <c r="I6" s="62">
        <f t="shared" si="1"/>
        <v>98.5</v>
      </c>
      <c r="J6" s="55"/>
    </row>
    <row r="7" spans="1:17">
      <c r="A7" s="80">
        <v>4</v>
      </c>
      <c r="B7" s="10">
        <v>12324</v>
      </c>
      <c r="C7" s="11" t="s">
        <v>8</v>
      </c>
      <c r="D7" s="10">
        <v>58</v>
      </c>
      <c r="E7" s="10">
        <v>38</v>
      </c>
      <c r="F7" s="28">
        <v>26</v>
      </c>
      <c r="G7" s="31">
        <f t="shared" si="0"/>
        <v>122</v>
      </c>
      <c r="H7" s="33">
        <f>G7*$H$3/$G$3</f>
        <v>93.84615384615384</v>
      </c>
      <c r="I7" s="64">
        <f t="shared" si="1"/>
        <v>94</v>
      </c>
      <c r="J7" s="55"/>
    </row>
    <row r="8" spans="1:17">
      <c r="A8" s="80">
        <v>5</v>
      </c>
      <c r="B8" s="10">
        <v>18512</v>
      </c>
      <c r="C8" s="11" t="s">
        <v>9</v>
      </c>
      <c r="D8" s="10">
        <v>60</v>
      </c>
      <c r="E8" s="10">
        <v>37</v>
      </c>
      <c r="F8" s="28">
        <v>27</v>
      </c>
      <c r="G8" s="31">
        <f t="shared" si="0"/>
        <v>124</v>
      </c>
      <c r="H8" s="33">
        <f>G8*$H$3/$G$3</f>
        <v>95.384615384615387</v>
      </c>
      <c r="I8" s="66">
        <f t="shared" si="1"/>
        <v>95.5</v>
      </c>
      <c r="J8" s="55"/>
    </row>
    <row r="9" spans="1:17">
      <c r="A9" s="81"/>
      <c r="B9" s="34"/>
      <c r="C9" s="35"/>
      <c r="D9" s="34"/>
      <c r="E9" s="34"/>
      <c r="F9" s="36"/>
      <c r="G9" s="37"/>
      <c r="H9" s="38"/>
      <c r="I9" s="54"/>
      <c r="J9" s="52"/>
    </row>
    <row r="10" spans="1:17">
      <c r="A10" s="4">
        <f>SUBTOTAL(3,$B$10:$B10)*1</f>
        <v>1</v>
      </c>
      <c r="B10" s="10">
        <v>3429</v>
      </c>
      <c r="C10" s="11" t="s">
        <v>10</v>
      </c>
      <c r="D10" s="8">
        <v>54</v>
      </c>
      <c r="E10" s="8">
        <v>37</v>
      </c>
      <c r="F10" s="16">
        <v>29</v>
      </c>
      <c r="G10" s="31">
        <f t="shared" ref="G10:G28" si="2">SUM(D10:F10)</f>
        <v>120</v>
      </c>
      <c r="H10" s="33">
        <f t="shared" ref="H10:H28" si="3">G10*$H$3/$G$3</f>
        <v>92.307692307692307</v>
      </c>
      <c r="I10" s="62">
        <f>CEILING(H10,0.5)</f>
        <v>92.5</v>
      </c>
      <c r="J10" s="55"/>
    </row>
    <row r="11" spans="1:17">
      <c r="A11" s="4">
        <f>SUBTOTAL(3,$B$10:$B11)*1</f>
        <v>2</v>
      </c>
      <c r="B11" s="10">
        <v>3643</v>
      </c>
      <c r="C11" s="11" t="s">
        <v>11</v>
      </c>
      <c r="D11" s="10">
        <v>58</v>
      </c>
      <c r="E11" s="10">
        <v>39</v>
      </c>
      <c r="F11" s="28">
        <v>24</v>
      </c>
      <c r="G11" s="31">
        <f t="shared" si="2"/>
        <v>121</v>
      </c>
      <c r="H11" s="33">
        <f t="shared" si="3"/>
        <v>93.07692307692308</v>
      </c>
      <c r="I11" s="62">
        <f>CEILING(H11,0.5)</f>
        <v>93.5</v>
      </c>
      <c r="J11" s="55"/>
    </row>
    <row r="12" spans="1:17">
      <c r="A12" s="4">
        <f>SUBTOTAL(3,$B$10:$B12)*1</f>
        <v>3</v>
      </c>
      <c r="B12" s="10">
        <v>4843</v>
      </c>
      <c r="C12" s="11" t="s">
        <v>12</v>
      </c>
      <c r="D12" s="10">
        <v>54</v>
      </c>
      <c r="E12" s="10">
        <v>38</v>
      </c>
      <c r="F12" s="28">
        <v>28</v>
      </c>
      <c r="G12" s="31">
        <f t="shared" si="2"/>
        <v>120</v>
      </c>
      <c r="H12" s="33">
        <f t="shared" si="3"/>
        <v>92.307692307692307</v>
      </c>
      <c r="I12" s="62">
        <f t="shared" ref="I12:I28" si="4">CEILING(H12,0.5)</f>
        <v>92.5</v>
      </c>
      <c r="J12" s="55"/>
      <c r="L12" s="22"/>
    </row>
    <row r="13" spans="1:17">
      <c r="A13" s="4">
        <f>SUBTOTAL(3,$B$10:$B13)*1</f>
        <v>4</v>
      </c>
      <c r="B13" s="49">
        <v>5209</v>
      </c>
      <c r="C13" s="50" t="s">
        <v>13</v>
      </c>
      <c r="D13" s="10">
        <v>56</v>
      </c>
      <c r="E13" s="10">
        <v>40</v>
      </c>
      <c r="F13" s="28">
        <v>29</v>
      </c>
      <c r="G13" s="31">
        <f t="shared" si="2"/>
        <v>125</v>
      </c>
      <c r="H13" s="33">
        <f t="shared" si="3"/>
        <v>96.15384615384616</v>
      </c>
      <c r="I13" s="62">
        <f t="shared" si="4"/>
        <v>96.5</v>
      </c>
      <c r="J13" s="55"/>
    </row>
    <row r="14" spans="1:17">
      <c r="A14" s="4">
        <f>SUBTOTAL(3,$B$10:$B14)*1</f>
        <v>5</v>
      </c>
      <c r="B14" s="49">
        <v>5258</v>
      </c>
      <c r="C14" s="50" t="s">
        <v>14</v>
      </c>
      <c r="D14" s="10">
        <v>58</v>
      </c>
      <c r="E14" s="10">
        <v>36</v>
      </c>
      <c r="F14" s="28">
        <v>29</v>
      </c>
      <c r="G14" s="31">
        <f t="shared" si="2"/>
        <v>123</v>
      </c>
      <c r="H14" s="33">
        <f t="shared" si="3"/>
        <v>94.615384615384613</v>
      </c>
      <c r="I14" s="64">
        <f t="shared" si="4"/>
        <v>95</v>
      </c>
      <c r="J14" s="55"/>
    </row>
    <row r="15" spans="1:17">
      <c r="A15" s="4">
        <f>SUBTOTAL(3,$B$10:$B15)*1</f>
        <v>6</v>
      </c>
      <c r="B15" s="49">
        <v>5994</v>
      </c>
      <c r="C15" s="50" t="s">
        <v>15</v>
      </c>
      <c r="D15" s="10" t="s">
        <v>91</v>
      </c>
      <c r="E15" s="10" t="s">
        <v>92</v>
      </c>
      <c r="F15" s="28" t="s">
        <v>93</v>
      </c>
      <c r="G15" s="31" t="s">
        <v>89</v>
      </c>
      <c r="H15" s="67">
        <v>89.230769230769226</v>
      </c>
      <c r="I15" s="62" t="s">
        <v>90</v>
      </c>
      <c r="J15" s="68" t="s">
        <v>88</v>
      </c>
      <c r="P15" s="33"/>
      <c r="Q15" s="53"/>
    </row>
    <row r="16" spans="1:17">
      <c r="A16" s="4">
        <f>SUBTOTAL(3,$B$10:$B16)*1</f>
        <v>7</v>
      </c>
      <c r="B16" s="49">
        <v>7898</v>
      </c>
      <c r="C16" s="50" t="s">
        <v>16</v>
      </c>
      <c r="D16" s="10">
        <v>54</v>
      </c>
      <c r="E16" s="10">
        <v>39</v>
      </c>
      <c r="F16" s="28">
        <v>24</v>
      </c>
      <c r="G16" s="31">
        <f t="shared" si="2"/>
        <v>117</v>
      </c>
      <c r="H16" s="33">
        <f t="shared" si="3"/>
        <v>90</v>
      </c>
      <c r="I16" s="64">
        <f t="shared" si="4"/>
        <v>90</v>
      </c>
      <c r="J16" s="55"/>
    </row>
    <row r="17" spans="1:15">
      <c r="A17" s="4">
        <f>SUBTOTAL(3,$B$10:$B17)*1</f>
        <v>8</v>
      </c>
      <c r="B17" s="10">
        <v>11467</v>
      </c>
      <c r="C17" s="11" t="s">
        <v>17</v>
      </c>
      <c r="D17" s="10">
        <v>60</v>
      </c>
      <c r="E17" s="10">
        <v>39</v>
      </c>
      <c r="F17" s="28">
        <v>30</v>
      </c>
      <c r="G17" s="31">
        <f t="shared" si="2"/>
        <v>129</v>
      </c>
      <c r="H17" s="33">
        <f t="shared" si="3"/>
        <v>99.230769230769226</v>
      </c>
      <c r="I17" s="62">
        <f t="shared" si="4"/>
        <v>99.5</v>
      </c>
      <c r="J17" s="55"/>
    </row>
    <row r="18" spans="1:15">
      <c r="A18" s="4">
        <f>SUBTOTAL(3,$B$10:$B18)*1</f>
        <v>9</v>
      </c>
      <c r="B18" s="10">
        <v>12047</v>
      </c>
      <c r="C18" s="11" t="s">
        <v>18</v>
      </c>
      <c r="D18" s="10">
        <v>60</v>
      </c>
      <c r="E18" s="10">
        <v>38</v>
      </c>
      <c r="F18" s="28">
        <v>26</v>
      </c>
      <c r="G18" s="31">
        <f t="shared" si="2"/>
        <v>124</v>
      </c>
      <c r="H18" s="33">
        <f t="shared" si="3"/>
        <v>95.384615384615387</v>
      </c>
      <c r="I18" s="62">
        <f t="shared" si="4"/>
        <v>95.5</v>
      </c>
      <c r="J18" s="55"/>
    </row>
    <row r="19" spans="1:15" s="61" customFormat="1">
      <c r="A19" s="4">
        <f>SUBTOTAL(3,$B$10:$B19)*1</f>
        <v>10</v>
      </c>
      <c r="B19" s="49">
        <v>12259</v>
      </c>
      <c r="C19" s="50" t="s">
        <v>19</v>
      </c>
      <c r="D19" s="72">
        <v>60</v>
      </c>
      <c r="E19" s="72">
        <v>40</v>
      </c>
      <c r="F19" s="73">
        <v>30</v>
      </c>
      <c r="G19" s="74">
        <f t="shared" si="2"/>
        <v>130</v>
      </c>
      <c r="H19" s="75">
        <f t="shared" si="3"/>
        <v>100</v>
      </c>
      <c r="I19" s="76">
        <f t="shared" si="4"/>
        <v>100</v>
      </c>
      <c r="J19" s="71" t="s">
        <v>120</v>
      </c>
    </row>
    <row r="20" spans="1:15">
      <c r="A20" s="4">
        <f>SUBTOTAL(3,$B$10:$B20)*1</f>
        <v>11</v>
      </c>
      <c r="B20" s="10">
        <v>17151</v>
      </c>
      <c r="C20" s="11" t="s">
        <v>20</v>
      </c>
      <c r="D20" s="10">
        <v>54</v>
      </c>
      <c r="E20" s="10">
        <v>36</v>
      </c>
      <c r="F20" s="28">
        <v>29</v>
      </c>
      <c r="G20" s="31">
        <f t="shared" si="2"/>
        <v>119</v>
      </c>
      <c r="H20" s="33">
        <f t="shared" si="3"/>
        <v>91.538461538461533</v>
      </c>
      <c r="I20" s="64">
        <f t="shared" si="4"/>
        <v>92</v>
      </c>
      <c r="J20" s="55"/>
    </row>
    <row r="21" spans="1:15">
      <c r="A21" s="4">
        <f>SUBTOTAL(3,$B$10:$B21)*1</f>
        <v>12</v>
      </c>
      <c r="B21" s="10">
        <v>19197</v>
      </c>
      <c r="C21" s="11" t="s">
        <v>21</v>
      </c>
      <c r="D21" s="10">
        <v>56</v>
      </c>
      <c r="E21" s="10">
        <v>39</v>
      </c>
      <c r="F21" s="28">
        <v>28</v>
      </c>
      <c r="G21" s="31">
        <f t="shared" si="2"/>
        <v>123</v>
      </c>
      <c r="H21" s="33">
        <f t="shared" si="3"/>
        <v>94.615384615384613</v>
      </c>
      <c r="I21" s="64">
        <f t="shared" si="4"/>
        <v>95</v>
      </c>
      <c r="J21" s="55"/>
    </row>
    <row r="22" spans="1:15">
      <c r="A22" s="4">
        <f>SUBTOTAL(3,$B$10:$B22)*1</f>
        <v>13</v>
      </c>
      <c r="B22" s="10">
        <v>25647</v>
      </c>
      <c r="C22" s="11" t="s">
        <v>22</v>
      </c>
      <c r="D22" s="10">
        <v>54</v>
      </c>
      <c r="E22" s="10">
        <v>38</v>
      </c>
      <c r="F22" s="28">
        <v>27</v>
      </c>
      <c r="G22" s="31">
        <f t="shared" si="2"/>
        <v>119</v>
      </c>
      <c r="H22" s="33">
        <f t="shared" si="3"/>
        <v>91.538461538461533</v>
      </c>
      <c r="I22" s="64">
        <f t="shared" si="4"/>
        <v>92</v>
      </c>
      <c r="J22" s="55"/>
    </row>
    <row r="23" spans="1:15">
      <c r="A23" s="4">
        <f>SUBTOTAL(3,$B$10:$B23)*1</f>
        <v>14</v>
      </c>
      <c r="B23" s="10">
        <v>33577</v>
      </c>
      <c r="C23" s="11" t="s">
        <v>23</v>
      </c>
      <c r="D23" s="10">
        <v>60</v>
      </c>
      <c r="E23" s="10">
        <v>38</v>
      </c>
      <c r="F23" s="28">
        <v>29</v>
      </c>
      <c r="G23" s="31">
        <f t="shared" si="2"/>
        <v>127</v>
      </c>
      <c r="H23" s="33">
        <f t="shared" si="3"/>
        <v>97.692307692307693</v>
      </c>
      <c r="I23" s="64">
        <f t="shared" si="4"/>
        <v>98</v>
      </c>
      <c r="J23" s="55"/>
      <c r="O23" s="1" t="s">
        <v>87</v>
      </c>
    </row>
    <row r="24" spans="1:15">
      <c r="A24" s="4">
        <f>SUBTOTAL(3,$B$10:$B24)*1</f>
        <v>15</v>
      </c>
      <c r="B24" s="10">
        <v>32901</v>
      </c>
      <c r="C24" s="11" t="s">
        <v>24</v>
      </c>
      <c r="D24" s="10">
        <v>58</v>
      </c>
      <c r="E24" s="10">
        <v>38</v>
      </c>
      <c r="F24" s="28">
        <v>29</v>
      </c>
      <c r="G24" s="31">
        <f t="shared" si="2"/>
        <v>125</v>
      </c>
      <c r="H24" s="33">
        <f t="shared" si="3"/>
        <v>96.15384615384616</v>
      </c>
      <c r="I24" s="62">
        <f t="shared" si="4"/>
        <v>96.5</v>
      </c>
      <c r="J24" s="55"/>
    </row>
    <row r="25" spans="1:15">
      <c r="A25" s="4">
        <f>SUBTOTAL(3,$B$10:$B25)*1</f>
        <v>16</v>
      </c>
      <c r="B25" s="10">
        <v>35911</v>
      </c>
      <c r="C25" s="11" t="s">
        <v>25</v>
      </c>
      <c r="D25" s="10">
        <v>54</v>
      </c>
      <c r="E25" s="10">
        <v>39</v>
      </c>
      <c r="F25" s="28">
        <v>30</v>
      </c>
      <c r="G25" s="31">
        <f t="shared" si="2"/>
        <v>123</v>
      </c>
      <c r="H25" s="33">
        <f t="shared" si="3"/>
        <v>94.615384615384613</v>
      </c>
      <c r="I25" s="64">
        <f t="shared" si="4"/>
        <v>95</v>
      </c>
      <c r="J25" s="55"/>
    </row>
    <row r="26" spans="1:15">
      <c r="A26" s="4">
        <f>SUBTOTAL(3,$B$10:$B26)*1</f>
        <v>17</v>
      </c>
      <c r="B26" s="10">
        <v>62885</v>
      </c>
      <c r="C26" s="11" t="s">
        <v>26</v>
      </c>
      <c r="D26" s="10">
        <v>60</v>
      </c>
      <c r="E26" s="10">
        <v>38</v>
      </c>
      <c r="F26" s="28">
        <v>29</v>
      </c>
      <c r="G26" s="31">
        <f t="shared" si="2"/>
        <v>127</v>
      </c>
      <c r="H26" s="33">
        <f t="shared" si="3"/>
        <v>97.692307692307693</v>
      </c>
      <c r="I26" s="64">
        <f t="shared" si="4"/>
        <v>98</v>
      </c>
      <c r="J26" s="55"/>
    </row>
    <row r="27" spans="1:15">
      <c r="A27" s="4">
        <f>SUBTOTAL(3,$B$10:$B27)*1</f>
        <v>18</v>
      </c>
      <c r="B27" s="10">
        <v>37439</v>
      </c>
      <c r="C27" s="11" t="s">
        <v>27</v>
      </c>
      <c r="D27" s="10">
        <v>60</v>
      </c>
      <c r="E27" s="10">
        <v>39</v>
      </c>
      <c r="F27" s="28">
        <v>29</v>
      </c>
      <c r="G27" s="31">
        <f t="shared" si="2"/>
        <v>128</v>
      </c>
      <c r="H27" s="33">
        <f t="shared" si="3"/>
        <v>98.461538461538467</v>
      </c>
      <c r="I27" s="62">
        <f t="shared" si="4"/>
        <v>98.5</v>
      </c>
      <c r="J27" s="55"/>
    </row>
    <row r="28" spans="1:15" ht="24" thickBot="1">
      <c r="A28" s="4">
        <f>SUBTOTAL(3,$B$10:$B28)*1</f>
        <v>19</v>
      </c>
      <c r="B28" s="12">
        <v>37441</v>
      </c>
      <c r="C28" s="13" t="s">
        <v>28</v>
      </c>
      <c r="D28" s="12">
        <v>60</v>
      </c>
      <c r="E28" s="12">
        <v>39</v>
      </c>
      <c r="F28" s="29">
        <v>29</v>
      </c>
      <c r="G28" s="32">
        <f t="shared" si="2"/>
        <v>128</v>
      </c>
      <c r="H28" s="20">
        <f t="shared" si="3"/>
        <v>98.461538461538467</v>
      </c>
      <c r="I28" s="63">
        <f t="shared" si="4"/>
        <v>98.5</v>
      </c>
      <c r="J28" s="56"/>
    </row>
  </sheetData>
  <sheetProtection algorithmName="SHA-512" hashValue="GUfdKwh0IKqQB4SclzU7A8lBRWELqWKnZFy7VaBbsDKkOk0dMadU8dKy5LeGGsr8c3ixSwC7qecR5A4chaBzYQ==" saltValue="/4RK/jhPWG3vU1m6DuNKXA==" spinCount="100000" sheet="1" objects="1" scenarios="1"/>
  <autoFilter ref="D3:J3" xr:uid="{9A35B17B-5B95-443F-9D9A-8C522D7D6DB6}"/>
  <sortState ref="B4:I8">
    <sortCondition ref="B4:B8"/>
  </sortState>
  <mergeCells count="4">
    <mergeCell ref="A2:A3"/>
    <mergeCell ref="B2:B3"/>
    <mergeCell ref="C2:C3"/>
    <mergeCell ref="A1:J1"/>
  </mergeCells>
  <conditionalFormatting sqref="D4:D8">
    <cfRule type="cellIs" dxfId="15" priority="10" operator="lessThan">
      <formula>54</formula>
    </cfRule>
  </conditionalFormatting>
  <conditionalFormatting sqref="E4:E8">
    <cfRule type="cellIs" dxfId="14" priority="9" operator="lessThan">
      <formula>36</formula>
    </cfRule>
  </conditionalFormatting>
  <conditionalFormatting sqref="F4:F8">
    <cfRule type="cellIs" dxfId="13" priority="8" operator="lessThan">
      <formula>27</formula>
    </cfRule>
  </conditionalFormatting>
  <conditionalFormatting sqref="G4:G8 G10:G28">
    <cfRule type="cellIs" dxfId="12" priority="7" operator="lessThan">
      <formula>117</formula>
    </cfRule>
  </conditionalFormatting>
  <conditionalFormatting sqref="I10:I28 I4:I8">
    <cfRule type="cellIs" dxfId="11" priority="6" operator="lessThan">
      <formula>90</formula>
    </cfRule>
  </conditionalFormatting>
  <conditionalFormatting sqref="Q15">
    <cfRule type="cellIs" dxfId="10" priority="1" operator="lessThan">
      <formula>90</formula>
    </cfRule>
  </conditionalFormatting>
  <printOptions horizontalCentered="1" verticalCentered="1"/>
  <pageMargins left="0.31496062992125984" right="0.31496062992125984" top="0.15748031496062992" bottom="0.15748031496062992" header="0.31496062992125984" footer="0.31496062992125984"/>
  <pageSetup paperSize="9" orientation="landscape" r:id="rId1"/>
  <rowBreaks count="2" manualBreakCount="2">
    <brk id="28" max="9" man="1"/>
    <brk id="33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FF49-1882-49C8-938E-6D83893DB141}">
  <sheetPr filterMode="1">
    <tabColor theme="8" tint="0.59999389629810485"/>
  </sheetPr>
  <dimension ref="A1:K54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R53" sqref="R53"/>
    </sheetView>
  </sheetViews>
  <sheetFormatPr defaultRowHeight="23.4"/>
  <cols>
    <col min="1" max="1" width="7.5546875" style="2" customWidth="1"/>
    <col min="2" max="2" width="8.88671875" style="2"/>
    <col min="3" max="3" width="31.6640625" style="1" customWidth="1"/>
    <col min="4" max="4" width="11.5546875" style="2" customWidth="1"/>
    <col min="5" max="5" width="12.21875" style="2" customWidth="1"/>
    <col min="6" max="6" width="11.5546875" style="2" customWidth="1"/>
    <col min="7" max="7" width="13.109375" style="1" customWidth="1"/>
    <col min="8" max="8" width="10.88671875" style="2" hidden="1" customWidth="1"/>
    <col min="9" max="9" width="11.21875" style="2" customWidth="1"/>
    <col min="10" max="10" width="24.44140625" style="2" customWidth="1"/>
    <col min="11" max="11" width="18.33203125" style="1" customWidth="1"/>
    <col min="12" max="16384" width="8.88671875" style="1"/>
  </cols>
  <sheetData>
    <row r="1" spans="1:11" ht="29.4" thickBot="1">
      <c r="A1" s="197" t="s">
        <v>128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</row>
    <row r="2" spans="1:11" s="5" customFormat="1" ht="46.8">
      <c r="A2" s="188" t="s">
        <v>0</v>
      </c>
      <c r="B2" s="190" t="s">
        <v>1</v>
      </c>
      <c r="C2" s="190" t="s">
        <v>2</v>
      </c>
      <c r="D2" s="6" t="s">
        <v>3</v>
      </c>
      <c r="E2" s="6" t="s">
        <v>4</v>
      </c>
      <c r="F2" s="6" t="s">
        <v>83</v>
      </c>
      <c r="G2" s="21" t="s">
        <v>29</v>
      </c>
      <c r="H2" s="6" t="s">
        <v>30</v>
      </c>
      <c r="I2" s="23" t="s">
        <v>30</v>
      </c>
      <c r="J2" s="195" t="s">
        <v>81</v>
      </c>
      <c r="K2" s="195" t="s">
        <v>142</v>
      </c>
    </row>
    <row r="3" spans="1:11" s="5" customFormat="1" ht="24" thickBot="1">
      <c r="A3" s="189"/>
      <c r="B3" s="191"/>
      <c r="C3" s="191"/>
      <c r="D3" s="7">
        <v>60</v>
      </c>
      <c r="E3" s="7">
        <v>40</v>
      </c>
      <c r="F3" s="7">
        <v>30</v>
      </c>
      <c r="G3" s="7">
        <f t="shared" ref="G3" si="0">SUM(D3:F3)</f>
        <v>130</v>
      </c>
      <c r="H3" s="7">
        <v>100</v>
      </c>
      <c r="I3" s="24">
        <v>100</v>
      </c>
      <c r="J3" s="196"/>
      <c r="K3" s="196"/>
    </row>
    <row r="4" spans="1:11" ht="27" customHeight="1">
      <c r="A4" s="4">
        <f>SUBTOTAL(3,$B4:$B$4)*1</f>
        <v>1</v>
      </c>
      <c r="B4" s="8">
        <v>1633</v>
      </c>
      <c r="C4" s="9" t="s">
        <v>31</v>
      </c>
      <c r="D4" s="8">
        <v>52</v>
      </c>
      <c r="E4" s="8">
        <v>37</v>
      </c>
      <c r="F4" s="16">
        <v>29</v>
      </c>
      <c r="G4" s="17">
        <f t="shared" ref="G4:G34" si="1">SUM(D4:F4)</f>
        <v>118</v>
      </c>
      <c r="H4" s="18">
        <f t="shared" ref="H4:H35" si="2">G4*$H$3/$G$3</f>
        <v>90.769230769230774</v>
      </c>
      <c r="I4" s="25">
        <f t="shared" ref="I4:I34" si="3">CEILING(H4,0.5)</f>
        <v>91</v>
      </c>
      <c r="J4" s="106"/>
      <c r="K4" s="27"/>
    </row>
    <row r="5" spans="1:11" ht="27" customHeight="1">
      <c r="A5" s="4">
        <f>SUBTOTAL(3,$B$4:$B5)*1</f>
        <v>2</v>
      </c>
      <c r="B5" s="49">
        <v>2117</v>
      </c>
      <c r="C5" s="50" t="s">
        <v>32</v>
      </c>
      <c r="D5" s="49">
        <v>60</v>
      </c>
      <c r="E5" s="49">
        <v>38</v>
      </c>
      <c r="F5" s="49">
        <v>30</v>
      </c>
      <c r="G5" s="41">
        <f t="shared" si="1"/>
        <v>128</v>
      </c>
      <c r="H5" s="42">
        <f t="shared" si="2"/>
        <v>98.461538461538467</v>
      </c>
      <c r="I5" s="43">
        <f t="shared" si="3"/>
        <v>98.5</v>
      </c>
      <c r="J5" s="26"/>
      <c r="K5" s="15"/>
    </row>
    <row r="6" spans="1:11" ht="27" customHeight="1">
      <c r="A6" s="4">
        <f>SUBTOTAL(3,$B$4:$B6)*1</f>
        <v>3</v>
      </c>
      <c r="B6" s="49">
        <v>3031</v>
      </c>
      <c r="C6" s="50" t="s">
        <v>33</v>
      </c>
      <c r="D6" s="72">
        <v>58</v>
      </c>
      <c r="E6" s="72">
        <v>37</v>
      </c>
      <c r="F6" s="72">
        <v>28</v>
      </c>
      <c r="G6" s="77">
        <f t="shared" si="1"/>
        <v>123</v>
      </c>
      <c r="H6" s="78">
        <f t="shared" si="2"/>
        <v>94.615384615384613</v>
      </c>
      <c r="I6" s="79">
        <f t="shared" si="3"/>
        <v>95</v>
      </c>
      <c r="J6" s="107" t="s">
        <v>120</v>
      </c>
      <c r="K6" s="15"/>
    </row>
    <row r="7" spans="1:11" ht="27" customHeight="1">
      <c r="A7" s="69">
        <f>SUBTOTAL(3,$B$4:$B7)*1</f>
        <v>4</v>
      </c>
      <c r="B7" s="49">
        <v>7366</v>
      </c>
      <c r="C7" s="50" t="s">
        <v>34</v>
      </c>
      <c r="D7" s="49">
        <v>54</v>
      </c>
      <c r="E7" s="49">
        <v>40</v>
      </c>
      <c r="F7" s="49">
        <v>30</v>
      </c>
      <c r="G7" s="41">
        <f t="shared" si="1"/>
        <v>124</v>
      </c>
      <c r="H7" s="42">
        <f t="shared" si="2"/>
        <v>95.384615384615387</v>
      </c>
      <c r="I7" s="43">
        <f t="shared" si="3"/>
        <v>95.5</v>
      </c>
      <c r="J7" s="43"/>
      <c r="K7" s="110" t="s">
        <v>143</v>
      </c>
    </row>
    <row r="8" spans="1:11" ht="27" customHeight="1">
      <c r="A8" s="69">
        <f>SUBTOTAL(3,$B$4:$B8)*1</f>
        <v>5</v>
      </c>
      <c r="B8" s="49">
        <v>13445</v>
      </c>
      <c r="C8" s="50" t="s">
        <v>35</v>
      </c>
      <c r="D8" s="49">
        <v>56</v>
      </c>
      <c r="E8" s="49">
        <v>40</v>
      </c>
      <c r="F8" s="49">
        <v>30</v>
      </c>
      <c r="G8" s="41">
        <f t="shared" si="1"/>
        <v>126</v>
      </c>
      <c r="H8" s="42">
        <f t="shared" si="2"/>
        <v>96.92307692307692</v>
      </c>
      <c r="I8" s="43">
        <f t="shared" si="3"/>
        <v>97</v>
      </c>
      <c r="J8" s="26"/>
      <c r="K8" s="15"/>
    </row>
    <row r="9" spans="1:11" ht="27" customHeight="1">
      <c r="A9" s="69">
        <f>SUBTOTAL(3,$B$4:$B9)*1</f>
        <v>6</v>
      </c>
      <c r="B9" s="49">
        <v>22954</v>
      </c>
      <c r="C9" s="50" t="s">
        <v>36</v>
      </c>
      <c r="D9" s="49">
        <v>58</v>
      </c>
      <c r="E9" s="49">
        <v>40</v>
      </c>
      <c r="F9" s="49">
        <v>30</v>
      </c>
      <c r="G9" s="41">
        <f t="shared" si="1"/>
        <v>128</v>
      </c>
      <c r="H9" s="42">
        <f t="shared" si="2"/>
        <v>98.461538461538467</v>
      </c>
      <c r="I9" s="43">
        <f t="shared" si="3"/>
        <v>98.5</v>
      </c>
      <c r="J9" s="26"/>
      <c r="K9" s="15"/>
    </row>
    <row r="10" spans="1:11" ht="27" customHeight="1">
      <c r="A10" s="69">
        <f>SUBTOTAL(3,$B$4:$B10)*1</f>
        <v>7</v>
      </c>
      <c r="B10" s="49">
        <v>34500</v>
      </c>
      <c r="C10" s="50" t="s">
        <v>40</v>
      </c>
      <c r="D10" s="10">
        <v>60</v>
      </c>
      <c r="E10" s="10">
        <v>40</v>
      </c>
      <c r="F10" s="10">
        <v>29</v>
      </c>
      <c r="G10" s="14">
        <f t="shared" si="1"/>
        <v>129</v>
      </c>
      <c r="H10" s="19">
        <f t="shared" si="2"/>
        <v>99.230769230769226</v>
      </c>
      <c r="I10" s="26">
        <f t="shared" si="3"/>
        <v>99.5</v>
      </c>
      <c r="J10" s="26"/>
      <c r="K10" s="15"/>
    </row>
    <row r="11" spans="1:11" ht="27" customHeight="1">
      <c r="A11" s="69">
        <f>SUBTOTAL(3,$B$4:$B11)*1</f>
        <v>8</v>
      </c>
      <c r="B11" s="49">
        <v>35518</v>
      </c>
      <c r="C11" s="50" t="s">
        <v>41</v>
      </c>
      <c r="D11" s="10">
        <v>56</v>
      </c>
      <c r="E11" s="10">
        <v>38</v>
      </c>
      <c r="F11" s="10">
        <v>27</v>
      </c>
      <c r="G11" s="14">
        <f t="shared" si="1"/>
        <v>121</v>
      </c>
      <c r="H11" s="19">
        <f t="shared" si="2"/>
        <v>93.07692307692308</v>
      </c>
      <c r="I11" s="26">
        <f t="shared" si="3"/>
        <v>93.5</v>
      </c>
      <c r="J11" s="26" t="s">
        <v>86</v>
      </c>
      <c r="K11" s="15"/>
    </row>
    <row r="12" spans="1:11" ht="27" customHeight="1">
      <c r="A12" s="69">
        <f>SUBTOTAL(3,$B$4:$B12)*1</f>
        <v>9</v>
      </c>
      <c r="B12" s="49">
        <v>35528</v>
      </c>
      <c r="C12" s="50" t="s">
        <v>42</v>
      </c>
      <c r="D12" s="10">
        <v>58</v>
      </c>
      <c r="E12" s="10">
        <v>40</v>
      </c>
      <c r="F12" s="10">
        <v>30</v>
      </c>
      <c r="G12" s="14">
        <f t="shared" si="1"/>
        <v>128</v>
      </c>
      <c r="H12" s="19">
        <f t="shared" si="2"/>
        <v>98.461538461538467</v>
      </c>
      <c r="I12" s="26">
        <f t="shared" si="3"/>
        <v>98.5</v>
      </c>
      <c r="J12" s="26"/>
      <c r="K12" s="15"/>
    </row>
    <row r="13" spans="1:11" ht="27" customHeight="1">
      <c r="A13" s="69">
        <f>SUBTOTAL(3,$B$4:$B13)*1</f>
        <v>10</v>
      </c>
      <c r="B13" s="49">
        <v>35529</v>
      </c>
      <c r="C13" s="50" t="s">
        <v>37</v>
      </c>
      <c r="D13" s="10">
        <v>54</v>
      </c>
      <c r="E13" s="10">
        <v>40</v>
      </c>
      <c r="F13" s="10">
        <v>29</v>
      </c>
      <c r="G13" s="14">
        <f t="shared" si="1"/>
        <v>123</v>
      </c>
      <c r="H13" s="19">
        <f t="shared" si="2"/>
        <v>94.615384615384613</v>
      </c>
      <c r="I13" s="26">
        <f t="shared" si="3"/>
        <v>95</v>
      </c>
      <c r="J13" s="26"/>
      <c r="K13" s="15"/>
    </row>
    <row r="14" spans="1:11" ht="27" customHeight="1">
      <c r="A14" s="69">
        <f>SUBTOTAL(3,$B$4:$B14)*1</f>
        <v>11</v>
      </c>
      <c r="B14" s="49">
        <v>38834</v>
      </c>
      <c r="C14" s="50" t="s">
        <v>38</v>
      </c>
      <c r="D14" s="10">
        <v>60</v>
      </c>
      <c r="E14" s="10">
        <v>40</v>
      </c>
      <c r="F14" s="10">
        <v>30</v>
      </c>
      <c r="G14" s="14">
        <f t="shared" si="1"/>
        <v>130</v>
      </c>
      <c r="H14" s="19">
        <f t="shared" si="2"/>
        <v>100</v>
      </c>
      <c r="I14" s="26">
        <f t="shared" si="3"/>
        <v>100</v>
      </c>
      <c r="J14" s="26"/>
      <c r="K14" s="15"/>
    </row>
    <row r="15" spans="1:11" ht="27" customHeight="1">
      <c r="A15" s="69">
        <f>SUBTOTAL(3,$B$4:$B15)*1</f>
        <v>12</v>
      </c>
      <c r="B15" s="49">
        <v>60869</v>
      </c>
      <c r="C15" s="50" t="s">
        <v>48</v>
      </c>
      <c r="D15" s="10">
        <v>56</v>
      </c>
      <c r="E15" s="10">
        <v>40</v>
      </c>
      <c r="F15" s="10">
        <v>29</v>
      </c>
      <c r="G15" s="14">
        <f t="shared" si="1"/>
        <v>125</v>
      </c>
      <c r="H15" s="19">
        <f t="shared" si="2"/>
        <v>96.15384615384616</v>
      </c>
      <c r="I15" s="26">
        <f t="shared" si="3"/>
        <v>96.5</v>
      </c>
      <c r="J15" s="26"/>
      <c r="K15" s="15"/>
    </row>
    <row r="16" spans="1:11" ht="27" customHeight="1">
      <c r="A16" s="69">
        <f>SUBTOTAL(3,$B$4:$B16)*1</f>
        <v>13</v>
      </c>
      <c r="B16" s="49">
        <v>60886</v>
      </c>
      <c r="C16" s="50" t="s">
        <v>49</v>
      </c>
      <c r="D16" s="10" t="s">
        <v>113</v>
      </c>
      <c r="E16" s="10" t="s">
        <v>98</v>
      </c>
      <c r="F16" s="10" t="s">
        <v>99</v>
      </c>
      <c r="G16" s="14" t="s">
        <v>126</v>
      </c>
      <c r="H16" s="19">
        <v>84.615384615384613</v>
      </c>
      <c r="I16" s="26" t="s">
        <v>114</v>
      </c>
      <c r="J16" s="108" t="s">
        <v>88</v>
      </c>
      <c r="K16" s="15"/>
    </row>
    <row r="17" spans="1:11" ht="27" customHeight="1">
      <c r="A17" s="69">
        <f>SUBTOTAL(3,$B$4:$B17)*1</f>
        <v>14</v>
      </c>
      <c r="B17" s="49">
        <v>60890</v>
      </c>
      <c r="C17" s="50" t="s">
        <v>50</v>
      </c>
      <c r="D17" s="10">
        <v>58</v>
      </c>
      <c r="E17" s="10">
        <v>39</v>
      </c>
      <c r="F17" s="10">
        <v>29</v>
      </c>
      <c r="G17" s="14">
        <f t="shared" si="1"/>
        <v>126</v>
      </c>
      <c r="H17" s="19">
        <f t="shared" si="2"/>
        <v>96.92307692307692</v>
      </c>
      <c r="I17" s="26">
        <f t="shared" si="3"/>
        <v>97</v>
      </c>
      <c r="J17" s="26" t="s">
        <v>86</v>
      </c>
      <c r="K17" s="15"/>
    </row>
    <row r="18" spans="1:11" ht="27" customHeight="1">
      <c r="A18" s="69">
        <f>SUBTOTAL(3,$B$4:$B18)*1</f>
        <v>15</v>
      </c>
      <c r="B18" s="49">
        <v>61826</v>
      </c>
      <c r="C18" s="50" t="s">
        <v>43</v>
      </c>
      <c r="D18" s="10">
        <v>60</v>
      </c>
      <c r="E18" s="10">
        <v>40</v>
      </c>
      <c r="F18" s="10">
        <v>30</v>
      </c>
      <c r="G18" s="14">
        <f t="shared" si="1"/>
        <v>130</v>
      </c>
      <c r="H18" s="19">
        <f t="shared" si="2"/>
        <v>100</v>
      </c>
      <c r="I18" s="26">
        <f t="shared" si="3"/>
        <v>100</v>
      </c>
      <c r="J18" s="26"/>
      <c r="K18" s="15"/>
    </row>
    <row r="19" spans="1:11" ht="27" customHeight="1">
      <c r="A19" s="69">
        <f>SUBTOTAL(3,$B$4:$B19)*1</f>
        <v>16</v>
      </c>
      <c r="B19" s="49">
        <v>62366</v>
      </c>
      <c r="C19" s="50" t="s">
        <v>51</v>
      </c>
      <c r="D19" s="10">
        <v>58</v>
      </c>
      <c r="E19" s="10">
        <v>35</v>
      </c>
      <c r="F19" s="10">
        <v>30</v>
      </c>
      <c r="G19" s="14">
        <f t="shared" si="1"/>
        <v>123</v>
      </c>
      <c r="H19" s="19">
        <f t="shared" si="2"/>
        <v>94.615384615384613</v>
      </c>
      <c r="I19" s="26">
        <f t="shared" si="3"/>
        <v>95</v>
      </c>
      <c r="J19" s="26"/>
      <c r="K19" s="15"/>
    </row>
    <row r="20" spans="1:11" ht="27" customHeight="1">
      <c r="A20" s="69">
        <f>SUBTOTAL(3,$B$4:$B20)*1</f>
        <v>17</v>
      </c>
      <c r="B20" s="49">
        <v>62442</v>
      </c>
      <c r="C20" s="50" t="s">
        <v>52</v>
      </c>
      <c r="D20" s="10">
        <v>60</v>
      </c>
      <c r="E20" s="10">
        <v>38</v>
      </c>
      <c r="F20" s="10">
        <v>29</v>
      </c>
      <c r="G20" s="14">
        <f t="shared" si="1"/>
        <v>127</v>
      </c>
      <c r="H20" s="19">
        <f t="shared" si="2"/>
        <v>97.692307692307693</v>
      </c>
      <c r="I20" s="26">
        <f t="shared" si="3"/>
        <v>98</v>
      </c>
      <c r="J20" s="26" t="s">
        <v>86</v>
      </c>
      <c r="K20" s="15"/>
    </row>
    <row r="21" spans="1:11" ht="27" customHeight="1">
      <c r="A21" s="69">
        <f>SUBTOTAL(3,$B$4:$B21)*1</f>
        <v>18</v>
      </c>
      <c r="B21" s="39">
        <v>62454</v>
      </c>
      <c r="C21" s="40" t="s">
        <v>53</v>
      </c>
      <c r="D21" s="3" t="s">
        <v>106</v>
      </c>
      <c r="E21" s="3" t="s">
        <v>107</v>
      </c>
      <c r="F21" s="3" t="s">
        <v>108</v>
      </c>
      <c r="G21" s="14" t="s">
        <v>123</v>
      </c>
      <c r="H21" s="19">
        <v>79.230769230769226</v>
      </c>
      <c r="I21" s="26" t="s">
        <v>109</v>
      </c>
      <c r="J21" s="108" t="s">
        <v>88</v>
      </c>
      <c r="K21" s="15"/>
    </row>
    <row r="22" spans="1:11" ht="27" customHeight="1">
      <c r="A22" s="69">
        <f>SUBTOTAL(3,$B$4:$B22)*1</f>
        <v>19</v>
      </c>
      <c r="B22" s="49">
        <v>62559</v>
      </c>
      <c r="C22" s="50" t="s">
        <v>44</v>
      </c>
      <c r="D22" s="10">
        <v>58</v>
      </c>
      <c r="E22" s="10">
        <v>39</v>
      </c>
      <c r="F22" s="10">
        <v>30</v>
      </c>
      <c r="G22" s="14">
        <f t="shared" si="1"/>
        <v>127</v>
      </c>
      <c r="H22" s="19">
        <f t="shared" si="2"/>
        <v>97.692307692307693</v>
      </c>
      <c r="I22" s="26">
        <f t="shared" si="3"/>
        <v>98</v>
      </c>
      <c r="J22" s="26" t="s">
        <v>86</v>
      </c>
      <c r="K22" s="15"/>
    </row>
    <row r="23" spans="1:11" ht="27" customHeight="1">
      <c r="A23" s="69">
        <f>SUBTOTAL(3,$B$4:$B23)*1</f>
        <v>20</v>
      </c>
      <c r="B23" s="49">
        <v>62679</v>
      </c>
      <c r="C23" s="50" t="s">
        <v>39</v>
      </c>
      <c r="D23" s="10">
        <v>58</v>
      </c>
      <c r="E23" s="10">
        <v>40</v>
      </c>
      <c r="F23" s="10">
        <v>30</v>
      </c>
      <c r="G23" s="14">
        <f t="shared" si="1"/>
        <v>128</v>
      </c>
      <c r="H23" s="19">
        <f t="shared" si="2"/>
        <v>98.461538461538467</v>
      </c>
      <c r="I23" s="26">
        <f t="shared" si="3"/>
        <v>98.5</v>
      </c>
      <c r="J23" s="26"/>
      <c r="K23" s="15"/>
    </row>
    <row r="24" spans="1:11" ht="27" customHeight="1">
      <c r="A24" s="69">
        <f>SUBTOTAL(3,$B$4:$B24)*1</f>
        <v>21</v>
      </c>
      <c r="B24" s="49">
        <v>62681</v>
      </c>
      <c r="C24" s="50" t="s">
        <v>45</v>
      </c>
      <c r="D24" s="10" t="s">
        <v>101</v>
      </c>
      <c r="E24" s="10" t="s">
        <v>102</v>
      </c>
      <c r="F24" s="10" t="s">
        <v>100</v>
      </c>
      <c r="G24" s="14" t="s">
        <v>124</v>
      </c>
      <c r="H24" s="19">
        <v>80</v>
      </c>
      <c r="I24" s="26" t="s">
        <v>104</v>
      </c>
      <c r="J24" s="108" t="s">
        <v>88</v>
      </c>
      <c r="K24" s="15"/>
    </row>
    <row r="25" spans="1:11" ht="27" customHeight="1">
      <c r="A25" s="69">
        <f>SUBTOTAL(3,$B$4:$B25)*1</f>
        <v>22</v>
      </c>
      <c r="B25" s="39">
        <v>62736</v>
      </c>
      <c r="C25" s="40" t="s">
        <v>54</v>
      </c>
      <c r="D25" s="3">
        <v>58</v>
      </c>
      <c r="E25" s="3">
        <v>40</v>
      </c>
      <c r="F25" s="3">
        <v>29</v>
      </c>
      <c r="G25" s="14">
        <f t="shared" si="1"/>
        <v>127</v>
      </c>
      <c r="H25" s="19">
        <f t="shared" si="2"/>
        <v>97.692307692307693</v>
      </c>
      <c r="I25" s="26">
        <f t="shared" si="3"/>
        <v>98</v>
      </c>
      <c r="J25" s="26"/>
      <c r="K25" s="15"/>
    </row>
    <row r="26" spans="1:11" ht="27" customHeight="1">
      <c r="A26" s="69">
        <f>SUBTOTAL(3,$B$4:$B26)*1</f>
        <v>23</v>
      </c>
      <c r="B26" s="39">
        <v>62741</v>
      </c>
      <c r="C26" s="40" t="s">
        <v>55</v>
      </c>
      <c r="D26" s="3" t="s">
        <v>119</v>
      </c>
      <c r="E26" s="3" t="s">
        <v>115</v>
      </c>
      <c r="F26" s="3" t="s">
        <v>103</v>
      </c>
      <c r="G26" s="14" t="s">
        <v>122</v>
      </c>
      <c r="H26" s="19">
        <v>88.461538461538467</v>
      </c>
      <c r="I26" s="26" t="s">
        <v>127</v>
      </c>
      <c r="J26" s="108" t="s">
        <v>88</v>
      </c>
      <c r="K26" s="15"/>
    </row>
    <row r="27" spans="1:11" ht="27" customHeight="1">
      <c r="A27" s="69">
        <f>SUBTOTAL(3,$B$4:$B27)*1</f>
        <v>24</v>
      </c>
      <c r="B27" s="49">
        <v>62810</v>
      </c>
      <c r="C27" s="50" t="s">
        <v>46</v>
      </c>
      <c r="D27" s="10">
        <v>60</v>
      </c>
      <c r="E27" s="10">
        <v>39</v>
      </c>
      <c r="F27" s="10">
        <v>30</v>
      </c>
      <c r="G27" s="14">
        <f t="shared" si="1"/>
        <v>129</v>
      </c>
      <c r="H27" s="19">
        <f t="shared" si="2"/>
        <v>99.230769230769226</v>
      </c>
      <c r="I27" s="26">
        <f t="shared" si="3"/>
        <v>99.5</v>
      </c>
      <c r="J27" s="26"/>
      <c r="K27" s="15"/>
    </row>
    <row r="28" spans="1:11" ht="27" customHeight="1">
      <c r="A28" s="69">
        <f>SUBTOTAL(3,$B$4:$B28)*1</f>
        <v>25</v>
      </c>
      <c r="B28" s="49">
        <v>62882</v>
      </c>
      <c r="C28" s="50" t="s">
        <v>47</v>
      </c>
      <c r="D28" s="10">
        <v>58</v>
      </c>
      <c r="E28" s="10">
        <v>39</v>
      </c>
      <c r="F28" s="10">
        <v>29</v>
      </c>
      <c r="G28" s="14">
        <f t="shared" si="1"/>
        <v>126</v>
      </c>
      <c r="H28" s="19">
        <f t="shared" si="2"/>
        <v>96.92307692307692</v>
      </c>
      <c r="I28" s="26">
        <f t="shared" si="3"/>
        <v>97</v>
      </c>
      <c r="J28" s="26"/>
      <c r="K28" s="15"/>
    </row>
    <row r="29" spans="1:11" ht="27" customHeight="1">
      <c r="A29" s="69">
        <f>SUBTOTAL(3,$B$4:$B29)*1</f>
        <v>26</v>
      </c>
      <c r="B29" s="39">
        <v>62952</v>
      </c>
      <c r="C29" s="40" t="s">
        <v>56</v>
      </c>
      <c r="D29" s="3">
        <v>60</v>
      </c>
      <c r="E29" s="3">
        <v>38</v>
      </c>
      <c r="F29" s="3">
        <v>30</v>
      </c>
      <c r="G29" s="14">
        <f t="shared" si="1"/>
        <v>128</v>
      </c>
      <c r="H29" s="19">
        <f t="shared" si="2"/>
        <v>98.461538461538467</v>
      </c>
      <c r="I29" s="26">
        <f t="shared" si="3"/>
        <v>98.5</v>
      </c>
      <c r="J29" s="26"/>
      <c r="K29" s="15"/>
    </row>
    <row r="30" spans="1:11" ht="27" customHeight="1">
      <c r="A30" s="69">
        <f>SUBTOTAL(3,$B$4:$B30)*1</f>
        <v>27</v>
      </c>
      <c r="B30" s="39">
        <v>62954</v>
      </c>
      <c r="C30" s="40" t="s">
        <v>57</v>
      </c>
      <c r="D30" s="3">
        <v>60</v>
      </c>
      <c r="E30" s="3">
        <v>39</v>
      </c>
      <c r="F30" s="3">
        <v>28</v>
      </c>
      <c r="G30" s="14">
        <f t="shared" si="1"/>
        <v>127</v>
      </c>
      <c r="H30" s="19">
        <f t="shared" si="2"/>
        <v>97.692307692307693</v>
      </c>
      <c r="I30" s="26">
        <f t="shared" si="3"/>
        <v>98</v>
      </c>
      <c r="J30" s="26"/>
      <c r="K30" s="15"/>
    </row>
    <row r="31" spans="1:11" ht="27" customHeight="1">
      <c r="A31" s="69">
        <f>SUBTOTAL(3,$B$4:$B31)*1</f>
        <v>28</v>
      </c>
      <c r="B31" s="39">
        <v>62956</v>
      </c>
      <c r="C31" s="40" t="s">
        <v>58</v>
      </c>
      <c r="D31" s="3">
        <v>60</v>
      </c>
      <c r="E31" s="3">
        <v>39</v>
      </c>
      <c r="F31" s="3">
        <v>30</v>
      </c>
      <c r="G31" s="14">
        <f t="shared" si="1"/>
        <v>129</v>
      </c>
      <c r="H31" s="19">
        <f t="shared" si="2"/>
        <v>99.230769230769226</v>
      </c>
      <c r="I31" s="26">
        <f t="shared" si="3"/>
        <v>99.5</v>
      </c>
      <c r="J31" s="26"/>
      <c r="K31" s="15"/>
    </row>
    <row r="32" spans="1:11" ht="27.6" customHeight="1">
      <c r="A32" s="69">
        <f>SUBTOTAL(3,$B$4:$B32)*1</f>
        <v>29</v>
      </c>
      <c r="B32" s="39">
        <v>63093</v>
      </c>
      <c r="C32" s="40" t="s">
        <v>59</v>
      </c>
      <c r="D32" s="3">
        <v>52</v>
      </c>
      <c r="E32" s="3">
        <v>39</v>
      </c>
      <c r="F32" s="3">
        <v>30</v>
      </c>
      <c r="G32" s="14">
        <f t="shared" si="1"/>
        <v>121</v>
      </c>
      <c r="H32" s="19">
        <f t="shared" si="2"/>
        <v>93.07692307692308</v>
      </c>
      <c r="I32" s="26">
        <f t="shared" si="3"/>
        <v>93.5</v>
      </c>
      <c r="J32" s="26"/>
      <c r="K32" s="15"/>
    </row>
    <row r="33" spans="1:11" ht="27.6" customHeight="1">
      <c r="A33" s="69">
        <f>SUBTOTAL(3,$B$4:$B33)*1</f>
        <v>30</v>
      </c>
      <c r="B33" s="39">
        <v>63159</v>
      </c>
      <c r="C33" s="40" t="s">
        <v>60</v>
      </c>
      <c r="D33" s="3">
        <v>56</v>
      </c>
      <c r="E33" s="3">
        <v>39</v>
      </c>
      <c r="F33" s="3">
        <v>30</v>
      </c>
      <c r="G33" s="14">
        <f t="shared" si="1"/>
        <v>125</v>
      </c>
      <c r="H33" s="19">
        <f t="shared" si="2"/>
        <v>96.15384615384616</v>
      </c>
      <c r="I33" s="26">
        <f t="shared" si="3"/>
        <v>96.5</v>
      </c>
      <c r="J33" s="26"/>
      <c r="K33" s="15"/>
    </row>
    <row r="34" spans="1:11" ht="27.6" customHeight="1">
      <c r="A34" s="69">
        <f>SUBTOTAL(3,$B$4:$B34)*1</f>
        <v>31</v>
      </c>
      <c r="B34" s="39">
        <v>63248</v>
      </c>
      <c r="C34" s="40" t="s">
        <v>61</v>
      </c>
      <c r="D34" s="3">
        <v>56</v>
      </c>
      <c r="E34" s="3">
        <v>40</v>
      </c>
      <c r="F34" s="3">
        <v>30</v>
      </c>
      <c r="G34" s="14">
        <f t="shared" si="1"/>
        <v>126</v>
      </c>
      <c r="H34" s="19">
        <f t="shared" si="2"/>
        <v>96.92307692307692</v>
      </c>
      <c r="I34" s="26">
        <f t="shared" si="3"/>
        <v>97</v>
      </c>
      <c r="J34" s="26"/>
      <c r="K34" s="15"/>
    </row>
    <row r="35" spans="1:11" ht="27.6" customHeight="1">
      <c r="A35" s="69">
        <f>SUBTOTAL(3,$B$4:$B35)*1</f>
        <v>32</v>
      </c>
      <c r="B35" s="39">
        <v>63249</v>
      </c>
      <c r="C35" s="40" t="s">
        <v>62</v>
      </c>
      <c r="D35" s="3" t="s">
        <v>118</v>
      </c>
      <c r="E35" s="3" t="s">
        <v>117</v>
      </c>
      <c r="F35" s="3" t="s">
        <v>116</v>
      </c>
      <c r="G35" s="14" t="s">
        <v>125</v>
      </c>
      <c r="H35" s="19" t="e">
        <f t="shared" si="2"/>
        <v>#VALUE!</v>
      </c>
      <c r="I35" s="26" t="s">
        <v>121</v>
      </c>
      <c r="J35" s="108" t="s">
        <v>88</v>
      </c>
      <c r="K35" s="15"/>
    </row>
    <row r="36" spans="1:11" ht="27.6" customHeight="1">
      <c r="A36" s="69">
        <f>SUBTOTAL(3,$B$4:$B36)*1</f>
        <v>33</v>
      </c>
      <c r="B36" s="39">
        <v>63371</v>
      </c>
      <c r="C36" s="40" t="s">
        <v>63</v>
      </c>
      <c r="D36" s="3">
        <v>58</v>
      </c>
      <c r="E36" s="3">
        <v>39</v>
      </c>
      <c r="F36" s="3">
        <v>23</v>
      </c>
      <c r="G36" s="14">
        <f t="shared" ref="G36:G53" si="4">SUM(D36:F36)</f>
        <v>120</v>
      </c>
      <c r="H36" s="19">
        <f t="shared" ref="H36:H53" si="5">G36*$H$3/$G$3</f>
        <v>92.307692307692307</v>
      </c>
      <c r="I36" s="26">
        <f t="shared" ref="I36:I53" si="6">CEILING(H36,0.5)</f>
        <v>92.5</v>
      </c>
      <c r="J36" s="26"/>
      <c r="K36" s="15"/>
    </row>
    <row r="37" spans="1:11" ht="27.6" customHeight="1">
      <c r="A37" s="69">
        <f>SUBTOTAL(3,$B$4:$B37)*1</f>
        <v>34</v>
      </c>
      <c r="B37" s="39">
        <v>63431</v>
      </c>
      <c r="C37" s="40" t="s">
        <v>64</v>
      </c>
      <c r="D37" s="3">
        <v>56</v>
      </c>
      <c r="E37" s="3">
        <v>38</v>
      </c>
      <c r="F37" s="3">
        <v>30</v>
      </c>
      <c r="G37" s="14">
        <f t="shared" si="4"/>
        <v>124</v>
      </c>
      <c r="H37" s="19">
        <f t="shared" si="5"/>
        <v>95.384615384615387</v>
      </c>
      <c r="I37" s="26">
        <f t="shared" si="6"/>
        <v>95.5</v>
      </c>
      <c r="J37" s="26"/>
      <c r="K37" s="15"/>
    </row>
    <row r="38" spans="1:11" ht="27.6" customHeight="1">
      <c r="A38" s="69">
        <f>SUBTOTAL(3,$B$4:$B38)*1</f>
        <v>35</v>
      </c>
      <c r="B38" s="39">
        <v>63433</v>
      </c>
      <c r="C38" s="40" t="s">
        <v>66</v>
      </c>
      <c r="D38" s="39">
        <v>60</v>
      </c>
      <c r="E38" s="39">
        <v>38</v>
      </c>
      <c r="F38" s="39">
        <v>29</v>
      </c>
      <c r="G38" s="41">
        <f t="shared" si="4"/>
        <v>127</v>
      </c>
      <c r="H38" s="42">
        <f t="shared" si="5"/>
        <v>97.692307692307693</v>
      </c>
      <c r="I38" s="43">
        <f t="shared" si="6"/>
        <v>98</v>
      </c>
      <c r="J38" s="26"/>
      <c r="K38" s="15"/>
    </row>
    <row r="39" spans="1:11" ht="27.6" customHeight="1">
      <c r="A39" s="69">
        <f>SUBTOTAL(3,$B$4:$B39)*1</f>
        <v>36</v>
      </c>
      <c r="B39" s="39">
        <v>63436</v>
      </c>
      <c r="C39" s="40" t="s">
        <v>67</v>
      </c>
      <c r="D39" s="39">
        <v>60</v>
      </c>
      <c r="E39" s="39">
        <v>39</v>
      </c>
      <c r="F39" s="39">
        <v>30</v>
      </c>
      <c r="G39" s="41">
        <f t="shared" si="4"/>
        <v>129</v>
      </c>
      <c r="H39" s="42">
        <f t="shared" si="5"/>
        <v>99.230769230769226</v>
      </c>
      <c r="I39" s="43">
        <f t="shared" si="6"/>
        <v>99.5</v>
      </c>
      <c r="J39" s="26"/>
      <c r="K39" s="15"/>
    </row>
    <row r="40" spans="1:11" ht="27.6" customHeight="1">
      <c r="A40" s="69">
        <f>SUBTOTAL(3,$B$4:$B40)*1</f>
        <v>37</v>
      </c>
      <c r="B40" s="39">
        <v>63439</v>
      </c>
      <c r="C40" s="40" t="s">
        <v>65</v>
      </c>
      <c r="D40" s="3">
        <v>60</v>
      </c>
      <c r="E40" s="3">
        <v>38</v>
      </c>
      <c r="F40" s="3">
        <v>30</v>
      </c>
      <c r="G40" s="14">
        <f t="shared" si="4"/>
        <v>128</v>
      </c>
      <c r="H40" s="19">
        <f t="shared" si="5"/>
        <v>98.461538461538467</v>
      </c>
      <c r="I40" s="26">
        <f t="shared" si="6"/>
        <v>98.5</v>
      </c>
      <c r="J40" s="26"/>
      <c r="K40" s="15"/>
    </row>
    <row r="41" spans="1:11" ht="27.6" customHeight="1">
      <c r="A41" s="69">
        <f>SUBTOTAL(3,$B$4:$B41)*1</f>
        <v>38</v>
      </c>
      <c r="B41" s="39">
        <v>63525</v>
      </c>
      <c r="C41" s="40" t="s">
        <v>68</v>
      </c>
      <c r="D41" s="39">
        <v>60</v>
      </c>
      <c r="E41" s="39">
        <v>39</v>
      </c>
      <c r="F41" s="39">
        <v>21</v>
      </c>
      <c r="G41" s="41">
        <f t="shared" si="4"/>
        <v>120</v>
      </c>
      <c r="H41" s="42">
        <f t="shared" si="5"/>
        <v>92.307692307692307</v>
      </c>
      <c r="I41" s="43">
        <f t="shared" si="6"/>
        <v>92.5</v>
      </c>
      <c r="J41" s="26"/>
      <c r="K41" s="15"/>
    </row>
    <row r="42" spans="1:11" ht="27.6" customHeight="1">
      <c r="A42" s="69">
        <f>SUBTOTAL(3,$B$4:$B42)*1</f>
        <v>39</v>
      </c>
      <c r="B42" s="39">
        <v>63546</v>
      </c>
      <c r="C42" s="40" t="s">
        <v>69</v>
      </c>
      <c r="D42" s="39">
        <v>60</v>
      </c>
      <c r="E42" s="39">
        <v>40</v>
      </c>
      <c r="F42" s="39">
        <v>24</v>
      </c>
      <c r="G42" s="41">
        <f t="shared" si="4"/>
        <v>124</v>
      </c>
      <c r="H42" s="42">
        <f t="shared" si="5"/>
        <v>95.384615384615387</v>
      </c>
      <c r="I42" s="43">
        <f t="shared" si="6"/>
        <v>95.5</v>
      </c>
      <c r="J42" s="26" t="s">
        <v>86</v>
      </c>
      <c r="K42" s="15"/>
    </row>
    <row r="43" spans="1:11" ht="27.6" customHeight="1">
      <c r="A43" s="69">
        <f>SUBTOTAL(3,$B$4:$B43)*1</f>
        <v>40</v>
      </c>
      <c r="B43" s="39">
        <v>63550</v>
      </c>
      <c r="C43" s="40" t="s">
        <v>70</v>
      </c>
      <c r="D43" s="39">
        <v>52</v>
      </c>
      <c r="E43" s="39">
        <v>39</v>
      </c>
      <c r="F43" s="39">
        <v>30</v>
      </c>
      <c r="G43" s="41">
        <f t="shared" si="4"/>
        <v>121</v>
      </c>
      <c r="H43" s="42">
        <f t="shared" si="5"/>
        <v>93.07692307692308</v>
      </c>
      <c r="I43" s="43">
        <f t="shared" si="6"/>
        <v>93.5</v>
      </c>
      <c r="J43" s="26"/>
      <c r="K43" s="15"/>
    </row>
    <row r="44" spans="1:11" ht="27.6" customHeight="1">
      <c r="A44" s="69">
        <f>SUBTOTAL(3,$B$4:$B44)*1</f>
        <v>41</v>
      </c>
      <c r="B44" s="39">
        <v>63563</v>
      </c>
      <c r="C44" s="40" t="s">
        <v>71</v>
      </c>
      <c r="D44" s="39">
        <v>56</v>
      </c>
      <c r="E44" s="39">
        <v>38</v>
      </c>
      <c r="F44" s="39">
        <v>27</v>
      </c>
      <c r="G44" s="41">
        <f t="shared" si="4"/>
        <v>121</v>
      </c>
      <c r="H44" s="42">
        <f t="shared" si="5"/>
        <v>93.07692307692308</v>
      </c>
      <c r="I44" s="43">
        <f t="shared" si="6"/>
        <v>93.5</v>
      </c>
      <c r="J44" s="26"/>
      <c r="K44" s="15"/>
    </row>
    <row r="45" spans="1:11" ht="27.6" customHeight="1">
      <c r="A45" s="69">
        <f>SUBTOTAL(3,$B$4:$B45)*1</f>
        <v>42</v>
      </c>
      <c r="B45" s="39">
        <v>63564</v>
      </c>
      <c r="C45" s="40" t="s">
        <v>72</v>
      </c>
      <c r="D45" s="39" t="s">
        <v>94</v>
      </c>
      <c r="E45" s="39" t="s">
        <v>95</v>
      </c>
      <c r="F45" s="39" t="s">
        <v>103</v>
      </c>
      <c r="G45" s="41" t="s">
        <v>96</v>
      </c>
      <c r="H45" s="42">
        <v>83.84615384615384</v>
      </c>
      <c r="I45" s="43" t="s">
        <v>97</v>
      </c>
      <c r="J45" s="108" t="s">
        <v>88</v>
      </c>
      <c r="K45" s="110" t="s">
        <v>144</v>
      </c>
    </row>
    <row r="46" spans="1:11" ht="27.6" customHeight="1">
      <c r="A46" s="69">
        <f>SUBTOTAL(3,$B$4:$B46)*1</f>
        <v>43</v>
      </c>
      <c r="B46" s="39">
        <v>63566</v>
      </c>
      <c r="C46" s="40" t="s">
        <v>73</v>
      </c>
      <c r="D46" s="39">
        <v>56</v>
      </c>
      <c r="E46" s="39">
        <v>37</v>
      </c>
      <c r="F46" s="39">
        <v>27</v>
      </c>
      <c r="G46" s="41">
        <f t="shared" si="4"/>
        <v>120</v>
      </c>
      <c r="H46" s="42">
        <f t="shared" si="5"/>
        <v>92.307692307692307</v>
      </c>
      <c r="I46" s="43">
        <f t="shared" si="6"/>
        <v>92.5</v>
      </c>
      <c r="J46" s="26" t="s">
        <v>86</v>
      </c>
      <c r="K46" s="15"/>
    </row>
    <row r="47" spans="1:11" ht="28.2" customHeight="1">
      <c r="A47" s="69">
        <f>SUBTOTAL(3,$B$4:$B47)*1</f>
        <v>44</v>
      </c>
      <c r="B47" s="39">
        <v>63567</v>
      </c>
      <c r="C47" s="40" t="s">
        <v>74</v>
      </c>
      <c r="D47" s="39">
        <v>58</v>
      </c>
      <c r="E47" s="39">
        <v>39</v>
      </c>
      <c r="F47" s="39">
        <v>30</v>
      </c>
      <c r="G47" s="41">
        <f t="shared" si="4"/>
        <v>127</v>
      </c>
      <c r="H47" s="42">
        <f t="shared" si="5"/>
        <v>97.692307692307693</v>
      </c>
      <c r="I47" s="43">
        <f t="shared" si="6"/>
        <v>98</v>
      </c>
      <c r="J47" s="26"/>
      <c r="K47" s="15"/>
    </row>
    <row r="48" spans="1:11" ht="28.2" customHeight="1">
      <c r="A48" s="69">
        <f>SUBTOTAL(3,$B$4:$B48)*1</f>
        <v>45</v>
      </c>
      <c r="B48" s="39">
        <v>63652</v>
      </c>
      <c r="C48" s="40" t="s">
        <v>75</v>
      </c>
      <c r="D48" s="39">
        <v>52</v>
      </c>
      <c r="E48" s="39">
        <v>39</v>
      </c>
      <c r="F48" s="39">
        <v>30</v>
      </c>
      <c r="G48" s="41">
        <f t="shared" si="4"/>
        <v>121</v>
      </c>
      <c r="H48" s="42">
        <f t="shared" si="5"/>
        <v>93.07692307692308</v>
      </c>
      <c r="I48" s="43">
        <f t="shared" si="6"/>
        <v>93.5</v>
      </c>
      <c r="J48" s="26"/>
      <c r="K48" s="15"/>
    </row>
    <row r="49" spans="1:11" ht="28.2" customHeight="1">
      <c r="A49" s="4">
        <f>SUBTOTAL(3,$B$4:$B49)*1</f>
        <v>46</v>
      </c>
      <c r="B49" s="39">
        <v>63658</v>
      </c>
      <c r="C49" s="40" t="s">
        <v>76</v>
      </c>
      <c r="D49" s="39">
        <v>56</v>
      </c>
      <c r="E49" s="39">
        <v>39</v>
      </c>
      <c r="F49" s="39">
        <v>30</v>
      </c>
      <c r="G49" s="41">
        <f t="shared" si="4"/>
        <v>125</v>
      </c>
      <c r="H49" s="42">
        <f t="shared" si="5"/>
        <v>96.15384615384616</v>
      </c>
      <c r="I49" s="43">
        <f t="shared" si="6"/>
        <v>96.5</v>
      </c>
      <c r="J49" s="26"/>
      <c r="K49" s="15"/>
    </row>
    <row r="50" spans="1:11" ht="28.2" customHeight="1">
      <c r="A50" s="4">
        <f>SUBTOTAL(3,$B$4:$B50)*1</f>
        <v>47</v>
      </c>
      <c r="B50" s="39">
        <v>63683</v>
      </c>
      <c r="C50" s="40" t="s">
        <v>77</v>
      </c>
      <c r="D50" s="39">
        <v>58</v>
      </c>
      <c r="E50" s="39">
        <v>40</v>
      </c>
      <c r="F50" s="39">
        <v>27</v>
      </c>
      <c r="G50" s="41">
        <f t="shared" si="4"/>
        <v>125</v>
      </c>
      <c r="H50" s="42">
        <f t="shared" si="5"/>
        <v>96.15384615384616</v>
      </c>
      <c r="I50" s="43">
        <f t="shared" si="6"/>
        <v>96.5</v>
      </c>
      <c r="J50" s="26"/>
      <c r="K50" s="15"/>
    </row>
    <row r="51" spans="1:11" ht="28.2" customHeight="1">
      <c r="A51" s="4">
        <f>SUBTOTAL(3,$B$4:$B51)*1</f>
        <v>48</v>
      </c>
      <c r="B51" s="39">
        <v>64312</v>
      </c>
      <c r="C51" s="40" t="s">
        <v>78</v>
      </c>
      <c r="D51" s="39">
        <v>54</v>
      </c>
      <c r="E51" s="39">
        <v>39</v>
      </c>
      <c r="F51" s="39">
        <v>29</v>
      </c>
      <c r="G51" s="41">
        <f t="shared" si="4"/>
        <v>122</v>
      </c>
      <c r="H51" s="42">
        <f t="shared" si="5"/>
        <v>93.84615384615384</v>
      </c>
      <c r="I51" s="43">
        <f t="shared" si="6"/>
        <v>94</v>
      </c>
      <c r="J51" s="26"/>
      <c r="K51" s="58" t="s">
        <v>82</v>
      </c>
    </row>
    <row r="52" spans="1:11" ht="28.2" customHeight="1">
      <c r="A52" s="69">
        <f>SUBTOTAL(3,$B$4:$B52)*1</f>
        <v>49</v>
      </c>
      <c r="B52" s="39">
        <v>64313</v>
      </c>
      <c r="C52" s="40" t="s">
        <v>79</v>
      </c>
      <c r="D52" s="39" t="s">
        <v>105</v>
      </c>
      <c r="E52" s="39" t="s">
        <v>110</v>
      </c>
      <c r="F52" s="39" t="s">
        <v>100</v>
      </c>
      <c r="G52" s="41" t="s">
        <v>111</v>
      </c>
      <c r="H52" s="42">
        <v>86.15384615384616</v>
      </c>
      <c r="I52" s="43" t="s">
        <v>112</v>
      </c>
      <c r="J52" s="108" t="s">
        <v>88</v>
      </c>
      <c r="K52" s="58" t="s">
        <v>82</v>
      </c>
    </row>
    <row r="53" spans="1:11" ht="28.2" customHeight="1" thickBot="1">
      <c r="A53" s="4">
        <f>SUBTOTAL(3,$B$4:$B53)*1</f>
        <v>50</v>
      </c>
      <c r="B53" s="44">
        <v>64355</v>
      </c>
      <c r="C53" s="45" t="s">
        <v>80</v>
      </c>
      <c r="D53" s="44">
        <v>54</v>
      </c>
      <c r="E53" s="44">
        <v>38</v>
      </c>
      <c r="F53" s="44">
        <v>25</v>
      </c>
      <c r="G53" s="46">
        <f t="shared" si="4"/>
        <v>117</v>
      </c>
      <c r="H53" s="47">
        <f t="shared" si="5"/>
        <v>90</v>
      </c>
      <c r="I53" s="48">
        <f t="shared" si="6"/>
        <v>90</v>
      </c>
      <c r="J53" s="109"/>
      <c r="K53" s="58" t="s">
        <v>82</v>
      </c>
    </row>
    <row r="54" spans="1:11" ht="28.2" customHeight="1"/>
  </sheetData>
  <sheetProtection algorithmName="SHA-512" hashValue="4fuT3aMMju1GhA7hjo9AS4xjBiYxR15JlfEW29nsxyNGYG9Wc0DBqOHKa6n3d3RW7ou7zkwNfViVVgTLndDBiQ==" saltValue="OiNsi4A47sTJ6xUX2XsEiw==" spinCount="100000" sheet="1" objects="1" scenarios="1"/>
  <autoFilter ref="A3:K53" xr:uid="{744EEC0E-EB26-4D05-910C-A4E14056A32A}">
    <filterColumn colId="10">
      <filters blank="1"/>
    </filterColumn>
  </autoFilter>
  <sortState ref="B4:J53">
    <sortCondition ref="B4:B53"/>
  </sortState>
  <mergeCells count="6">
    <mergeCell ref="K2:K3"/>
    <mergeCell ref="A1:K1"/>
    <mergeCell ref="A2:A3"/>
    <mergeCell ref="B2:B3"/>
    <mergeCell ref="C2:C3"/>
    <mergeCell ref="J2:J3"/>
  </mergeCells>
  <printOptions horizontalCentered="1"/>
  <pageMargins left="0.11811023622047245" right="0.11811023622047245" top="0.15748031496062992" bottom="0.15748031496062992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929A-C1D7-401E-AA1D-EC4D6F61CA05}">
  <sheetPr>
    <tabColor theme="8" tint="0.59999389629810485"/>
  </sheetPr>
  <dimension ref="A1:J14"/>
  <sheetViews>
    <sheetView workbookViewId="0">
      <selection activeCell="J9" sqref="J9"/>
    </sheetView>
  </sheetViews>
  <sheetFormatPr defaultRowHeight="28.2" customHeight="1"/>
  <cols>
    <col min="1" max="1" width="4.21875" style="89" customWidth="1"/>
    <col min="2" max="9" width="15.44140625" style="89" customWidth="1"/>
    <col min="10" max="10" width="30.77734375" style="89" customWidth="1"/>
    <col min="11" max="11" width="15.5546875" style="89" customWidth="1"/>
    <col min="12" max="16384" width="8.88671875" style="89"/>
  </cols>
  <sheetData>
    <row r="1" spans="1:10" s="84" customFormat="1" ht="39.6" customHeight="1">
      <c r="A1" s="83"/>
      <c r="B1" s="208" t="s">
        <v>136</v>
      </c>
      <c r="C1" s="208"/>
      <c r="D1" s="208"/>
      <c r="E1" s="208"/>
      <c r="F1" s="208"/>
      <c r="G1" s="208"/>
      <c r="H1" s="208"/>
      <c r="I1" s="208"/>
    </row>
    <row r="2" spans="1:10" s="84" customFormat="1" ht="35.4" customHeight="1">
      <c r="A2" s="83"/>
      <c r="B2" s="85" t="s">
        <v>145</v>
      </c>
      <c r="C2" s="85"/>
      <c r="D2" s="86"/>
      <c r="E2" s="86"/>
      <c r="F2" s="83"/>
      <c r="G2" s="83"/>
      <c r="H2" s="83"/>
      <c r="I2" s="83"/>
    </row>
    <row r="3" spans="1:10" ht="30.6" customHeight="1">
      <c r="A3" s="87"/>
      <c r="B3" s="199" t="s">
        <v>129</v>
      </c>
      <c r="C3" s="201" t="s">
        <v>130</v>
      </c>
      <c r="D3" s="205" t="s">
        <v>138</v>
      </c>
      <c r="E3" s="206"/>
      <c r="F3" s="206"/>
      <c r="G3" s="207"/>
      <c r="H3" s="209" t="s">
        <v>81</v>
      </c>
      <c r="I3" s="210"/>
    </row>
    <row r="4" spans="1:10" ht="26.4" customHeight="1">
      <c r="A4" s="87"/>
      <c r="B4" s="200"/>
      <c r="C4" s="202"/>
      <c r="D4" s="114" t="s">
        <v>139</v>
      </c>
      <c r="E4" s="114" t="s">
        <v>134</v>
      </c>
      <c r="F4" s="121" t="s">
        <v>140</v>
      </c>
      <c r="G4" s="121" t="s">
        <v>134</v>
      </c>
      <c r="H4" s="211"/>
      <c r="I4" s="212"/>
    </row>
    <row r="5" spans="1:10" ht="30" customHeight="1">
      <c r="A5" s="87"/>
      <c r="B5" s="88" t="s">
        <v>132</v>
      </c>
      <c r="C5" s="88">
        <v>19</v>
      </c>
      <c r="D5" s="88">
        <v>17</v>
      </c>
      <c r="E5" s="99">
        <f>D5/C5</f>
        <v>0.89473684210526316</v>
      </c>
      <c r="F5" s="122">
        <v>2</v>
      </c>
      <c r="G5" s="123">
        <f>F5/C5</f>
        <v>0.10526315789473684</v>
      </c>
      <c r="H5" s="215"/>
      <c r="I5" s="216"/>
    </row>
    <row r="6" spans="1:10" ht="30" customHeight="1">
      <c r="A6" s="87"/>
      <c r="B6" s="97" t="s">
        <v>133</v>
      </c>
      <c r="C6" s="100">
        <v>50</v>
      </c>
      <c r="D6" s="97">
        <v>42</v>
      </c>
      <c r="E6" s="102">
        <f>D6/C6</f>
        <v>0.84</v>
      </c>
      <c r="F6" s="124">
        <v>8</v>
      </c>
      <c r="G6" s="125">
        <f>F6/C6</f>
        <v>0.16</v>
      </c>
      <c r="H6" s="213"/>
      <c r="I6" s="214"/>
    </row>
    <row r="7" spans="1:10" ht="45.6" customHeight="1">
      <c r="A7" s="87"/>
      <c r="B7" s="113" t="s">
        <v>135</v>
      </c>
      <c r="C7" s="113">
        <f>SUM(C5:C6)</f>
        <v>69</v>
      </c>
      <c r="D7" s="113">
        <f>SUM(D5:D6)</f>
        <v>59</v>
      </c>
      <c r="E7" s="115">
        <f>D7/C7</f>
        <v>0.85507246376811596</v>
      </c>
      <c r="F7" s="126">
        <f>SUM(F5:F6)</f>
        <v>10</v>
      </c>
      <c r="G7" s="127">
        <f>F7/C7</f>
        <v>0.14492753623188406</v>
      </c>
      <c r="H7" s="217"/>
      <c r="I7" s="218"/>
    </row>
    <row r="8" spans="1:10" ht="39" customHeight="1">
      <c r="A8" s="87"/>
      <c r="B8" s="92"/>
      <c r="C8" s="92"/>
      <c r="D8" s="93"/>
      <c r="E8" s="93"/>
      <c r="F8" s="94"/>
      <c r="G8" s="94"/>
      <c r="H8" s="95"/>
      <c r="I8" s="96"/>
    </row>
    <row r="9" spans="1:10" s="84" customFormat="1" ht="35.4" customHeight="1">
      <c r="A9" s="83"/>
      <c r="B9" s="85" t="s">
        <v>141</v>
      </c>
      <c r="C9" s="85"/>
      <c r="D9" s="86"/>
      <c r="E9" s="86"/>
      <c r="F9" s="83"/>
      <c r="G9" s="83"/>
      <c r="H9" s="83"/>
      <c r="I9" s="83"/>
    </row>
    <row r="10" spans="1:10" ht="30.6" customHeight="1">
      <c r="A10" s="87"/>
      <c r="B10" s="199" t="s">
        <v>129</v>
      </c>
      <c r="C10" s="201" t="s">
        <v>130</v>
      </c>
      <c r="D10" s="201" t="s">
        <v>131</v>
      </c>
      <c r="E10" s="205" t="s">
        <v>138</v>
      </c>
      <c r="F10" s="206"/>
      <c r="G10" s="206"/>
      <c r="H10" s="207"/>
      <c r="I10" s="203" t="s">
        <v>142</v>
      </c>
      <c r="J10" s="199" t="s">
        <v>81</v>
      </c>
    </row>
    <row r="11" spans="1:10" ht="26.4" customHeight="1">
      <c r="A11" s="87"/>
      <c r="B11" s="200"/>
      <c r="C11" s="202"/>
      <c r="D11" s="202"/>
      <c r="E11" s="114" t="s">
        <v>139</v>
      </c>
      <c r="F11" s="114" t="s">
        <v>134</v>
      </c>
      <c r="G11" s="121" t="s">
        <v>140</v>
      </c>
      <c r="H11" s="121" t="s">
        <v>134</v>
      </c>
      <c r="I11" s="204"/>
      <c r="J11" s="200"/>
    </row>
    <row r="12" spans="1:10" ht="30" customHeight="1">
      <c r="A12" s="87"/>
      <c r="B12" s="88" t="s">
        <v>132</v>
      </c>
      <c r="C12" s="88">
        <v>19</v>
      </c>
      <c r="D12" s="88">
        <v>19</v>
      </c>
      <c r="E12" s="90">
        <v>17</v>
      </c>
      <c r="F12" s="101">
        <f>E12/D12</f>
        <v>0.89473684210526316</v>
      </c>
      <c r="G12" s="122">
        <v>2</v>
      </c>
      <c r="H12" s="123">
        <f>G12/D12</f>
        <v>0.10526315789473684</v>
      </c>
      <c r="I12" s="112" t="s">
        <v>137</v>
      </c>
      <c r="J12" s="91"/>
    </row>
    <row r="13" spans="1:10" ht="30" customHeight="1">
      <c r="A13" s="87"/>
      <c r="B13" s="97" t="s">
        <v>133</v>
      </c>
      <c r="C13" s="100">
        <v>50</v>
      </c>
      <c r="D13" s="97">
        <v>45</v>
      </c>
      <c r="E13" s="98">
        <v>39</v>
      </c>
      <c r="F13" s="103">
        <f>E13/D13</f>
        <v>0.8666666666666667</v>
      </c>
      <c r="G13" s="124">
        <v>6</v>
      </c>
      <c r="H13" s="123">
        <f t="shared" ref="H13" si="0">G13/D13</f>
        <v>0.13333333333333333</v>
      </c>
      <c r="I13" s="105">
        <v>5</v>
      </c>
      <c r="J13" s="111"/>
    </row>
    <row r="14" spans="1:10" ht="45.6" customHeight="1">
      <c r="A14" s="87"/>
      <c r="B14" s="113" t="s">
        <v>135</v>
      </c>
      <c r="C14" s="113">
        <f>SUM(C12:C13)</f>
        <v>69</v>
      </c>
      <c r="D14" s="113">
        <f>SUM(D12:D13)</f>
        <v>64</v>
      </c>
      <c r="E14" s="116">
        <f>SUM(E12:E13)</f>
        <v>56</v>
      </c>
      <c r="F14" s="117">
        <f>E14/D14</f>
        <v>0.875</v>
      </c>
      <c r="G14" s="126">
        <f>SUM(G12:G13)</f>
        <v>8</v>
      </c>
      <c r="H14" s="127">
        <f>G14/D14</f>
        <v>0.125</v>
      </c>
      <c r="I14" s="118">
        <f>SUM(I12:I13)</f>
        <v>5</v>
      </c>
      <c r="J14" s="119"/>
    </row>
  </sheetData>
  <sheetProtection algorithmName="SHA-512" hashValue="5w27Ja18f3ByWaXN6sORh1n7dt41yOIsfzRmD19TH3ZIfmkTvD++tcxVqoeLEgpYqmeaWngAS8kWJlJGS14Qeg==" saltValue="8o39CvQzkbOzivkwkfQoHg==" spinCount="100000" sheet="1" objects="1" scenarios="1"/>
  <mergeCells count="14">
    <mergeCell ref="B10:B11"/>
    <mergeCell ref="C10:C11"/>
    <mergeCell ref="B1:I1"/>
    <mergeCell ref="B3:B4"/>
    <mergeCell ref="C3:C4"/>
    <mergeCell ref="H3:I4"/>
    <mergeCell ref="H6:I6"/>
    <mergeCell ref="H5:I5"/>
    <mergeCell ref="H7:I7"/>
    <mergeCell ref="J10:J11"/>
    <mergeCell ref="D10:D11"/>
    <mergeCell ref="I10:I11"/>
    <mergeCell ref="E10:H10"/>
    <mergeCell ref="D3:G3"/>
  </mergeCells>
  <pageMargins left="0.51181102362204722" right="0.31496062992125984" top="0.35433070866141736" bottom="0.35433070866141736" header="0.31496062992125984" footer="0.31496062992125984"/>
  <pageSetup paperSize="9" scale="85" orientation="landscape" r:id="rId1"/>
  <ignoredErrors>
    <ignoredError sqref="F1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8AB9-AF5B-45EC-8F51-DDFCA33A6296}">
  <sheetPr>
    <tabColor theme="5" tint="-0.249977111117893"/>
  </sheetPr>
  <dimension ref="A1:P26"/>
  <sheetViews>
    <sheetView tabSelected="1" zoomScaleNormal="100" workbookViewId="0">
      <selection activeCell="Q20" sqref="Q20"/>
    </sheetView>
  </sheetViews>
  <sheetFormatPr defaultColWidth="9.44140625" defaultRowHeight="23.4"/>
  <cols>
    <col min="1" max="2" width="9.44140625" style="2"/>
    <col min="3" max="3" width="31.5546875" style="1" customWidth="1"/>
    <col min="4" max="6" width="10" style="2" customWidth="1"/>
    <col min="7" max="7" width="9.44140625" style="1"/>
    <col min="8" max="8" width="9.44140625" style="2" hidden="1" customWidth="1"/>
    <col min="9" max="9" width="9.44140625" style="2"/>
    <col min="10" max="10" width="21.21875" style="1" customWidth="1"/>
    <col min="11" max="16384" width="9.44140625" style="1"/>
  </cols>
  <sheetData>
    <row r="1" spans="1:16" ht="29.4" thickBot="1">
      <c r="A1" s="219" t="s">
        <v>171</v>
      </c>
      <c r="B1" s="220"/>
      <c r="C1" s="220"/>
      <c r="D1" s="220"/>
      <c r="E1" s="220"/>
      <c r="F1" s="220"/>
      <c r="G1" s="220"/>
      <c r="H1" s="220"/>
      <c r="I1" s="220"/>
      <c r="J1" s="221"/>
    </row>
    <row r="2" spans="1:16" s="5" customFormat="1" ht="46.8">
      <c r="A2" s="188" t="s">
        <v>0</v>
      </c>
      <c r="B2" s="190" t="s">
        <v>1</v>
      </c>
      <c r="C2" s="190" t="s">
        <v>2</v>
      </c>
      <c r="D2" s="120" t="s">
        <v>3</v>
      </c>
      <c r="E2" s="21" t="s">
        <v>4</v>
      </c>
      <c r="F2" s="23" t="s">
        <v>83</v>
      </c>
      <c r="G2" s="30" t="s">
        <v>29</v>
      </c>
      <c r="H2" s="120" t="s">
        <v>30</v>
      </c>
      <c r="I2" s="23" t="s">
        <v>30</v>
      </c>
      <c r="J2" s="82" t="s">
        <v>81</v>
      </c>
      <c r="L2" s="184" t="s">
        <v>3</v>
      </c>
      <c r="M2" s="21" t="s">
        <v>4</v>
      </c>
      <c r="N2" s="185" t="s">
        <v>83</v>
      </c>
      <c r="O2" s="30" t="s">
        <v>29</v>
      </c>
    </row>
    <row r="3" spans="1:16" s="5" customFormat="1" ht="24" thickBot="1">
      <c r="A3" s="189"/>
      <c r="B3" s="191"/>
      <c r="C3" s="191"/>
      <c r="D3" s="7">
        <v>60</v>
      </c>
      <c r="E3" s="7">
        <v>40</v>
      </c>
      <c r="F3" s="24">
        <v>30</v>
      </c>
      <c r="G3" s="24">
        <f t="shared" ref="G3:G8" si="0">SUM(D3:F3)</f>
        <v>130</v>
      </c>
      <c r="H3" s="7">
        <v>100</v>
      </c>
      <c r="I3" s="24">
        <v>100</v>
      </c>
      <c r="J3" s="104"/>
      <c r="K3" s="51"/>
      <c r="L3" s="5">
        <f>(90*60)/100</f>
        <v>54</v>
      </c>
      <c r="M3" s="5">
        <f>(90*40)/100</f>
        <v>36</v>
      </c>
      <c r="N3" s="5">
        <f>(90*30)/100</f>
        <v>27</v>
      </c>
      <c r="O3" s="5">
        <f>(90*130)/100</f>
        <v>117</v>
      </c>
      <c r="P3" s="51"/>
    </row>
    <row r="4" spans="1:16" hidden="1">
      <c r="A4" s="4">
        <v>1</v>
      </c>
      <c r="B4" s="129">
        <v>1730</v>
      </c>
      <c r="C4" s="130" t="s">
        <v>5</v>
      </c>
      <c r="D4" s="131">
        <v>60</v>
      </c>
      <c r="E4" s="131">
        <v>36</v>
      </c>
      <c r="F4" s="132">
        <v>28</v>
      </c>
      <c r="G4" s="31">
        <f t="shared" si="0"/>
        <v>124</v>
      </c>
      <c r="H4" s="33">
        <f>G4*$H$3/$G$3</f>
        <v>95.384615384615387</v>
      </c>
      <c r="I4" s="65">
        <f>CEILING(H4,0.5)</f>
        <v>95.5</v>
      </c>
      <c r="J4" s="57"/>
    </row>
    <row r="5" spans="1:16" hidden="1">
      <c r="A5" s="80">
        <v>2</v>
      </c>
      <c r="B5" s="10">
        <v>5540</v>
      </c>
      <c r="C5" s="11" t="s">
        <v>6</v>
      </c>
      <c r="D5" s="133">
        <v>60</v>
      </c>
      <c r="E5" s="133">
        <v>39</v>
      </c>
      <c r="F5" s="134">
        <v>28</v>
      </c>
      <c r="G5" s="31">
        <f t="shared" si="0"/>
        <v>127</v>
      </c>
      <c r="H5" s="33">
        <f>G5*$H$3/$G$3</f>
        <v>97.692307692307693</v>
      </c>
      <c r="I5" s="64">
        <f>CEILING(H5,0.5)</f>
        <v>98</v>
      </c>
      <c r="J5" s="55"/>
    </row>
    <row r="6" spans="1:16" hidden="1">
      <c r="A6" s="80">
        <v>3</v>
      </c>
      <c r="B6" s="10">
        <v>9038</v>
      </c>
      <c r="C6" s="11" t="s">
        <v>7</v>
      </c>
      <c r="D6" s="133">
        <v>60</v>
      </c>
      <c r="E6" s="133">
        <v>37</v>
      </c>
      <c r="F6" s="134">
        <v>29</v>
      </c>
      <c r="G6" s="31">
        <f t="shared" si="0"/>
        <v>126</v>
      </c>
      <c r="H6" s="33">
        <f>G6*$H$3/$G$3</f>
        <v>96.92307692307692</v>
      </c>
      <c r="I6" s="64">
        <f t="shared" ref="I6:I8" si="1">CEILING(H6,0.5)</f>
        <v>97</v>
      </c>
      <c r="J6" s="55"/>
    </row>
    <row r="7" spans="1:16" hidden="1">
      <c r="A7" s="80">
        <v>4</v>
      </c>
      <c r="B7" s="10">
        <v>12324</v>
      </c>
      <c r="C7" s="11" t="s">
        <v>8</v>
      </c>
      <c r="D7" s="133">
        <v>60</v>
      </c>
      <c r="E7" s="133">
        <v>37</v>
      </c>
      <c r="F7" s="134">
        <v>30</v>
      </c>
      <c r="G7" s="31">
        <f t="shared" si="0"/>
        <v>127</v>
      </c>
      <c r="H7" s="33">
        <f>G7*$H$3/$G$3</f>
        <v>97.692307692307693</v>
      </c>
      <c r="I7" s="64">
        <f t="shared" si="1"/>
        <v>98</v>
      </c>
      <c r="J7" s="55"/>
    </row>
    <row r="8" spans="1:16" hidden="1">
      <c r="A8" s="80">
        <v>5</v>
      </c>
      <c r="B8" s="10">
        <v>18512</v>
      </c>
      <c r="C8" s="11" t="s">
        <v>9</v>
      </c>
      <c r="D8" s="133">
        <v>58</v>
      </c>
      <c r="E8" s="133">
        <v>37</v>
      </c>
      <c r="F8" s="134">
        <v>30</v>
      </c>
      <c r="G8" s="31">
        <f t="shared" si="0"/>
        <v>125</v>
      </c>
      <c r="H8" s="33">
        <f>G8*$H$3/$G$3</f>
        <v>96.15384615384616</v>
      </c>
      <c r="I8" s="66">
        <f t="shared" si="1"/>
        <v>96.5</v>
      </c>
      <c r="J8" s="55"/>
    </row>
    <row r="9" spans="1:16" hidden="1">
      <c r="A9" s="81"/>
      <c r="B9" s="34"/>
      <c r="C9" s="35"/>
      <c r="D9" s="135"/>
      <c r="E9" s="135"/>
      <c r="F9" s="136"/>
      <c r="G9" s="37"/>
      <c r="H9" s="38"/>
      <c r="I9" s="54"/>
      <c r="J9" s="52"/>
    </row>
    <row r="10" spans="1:16">
      <c r="A10" s="4">
        <f>SUBTOTAL(3,$B$10:$B10)*1</f>
        <v>1</v>
      </c>
      <c r="B10" s="10">
        <v>3643</v>
      </c>
      <c r="C10" s="11" t="s">
        <v>11</v>
      </c>
      <c r="D10" s="133"/>
      <c r="E10" s="133"/>
      <c r="F10" s="134">
        <v>28</v>
      </c>
      <c r="G10" s="31">
        <f t="shared" ref="G10:G26" si="2">SUM(D10:F10)</f>
        <v>28</v>
      </c>
      <c r="H10" s="33">
        <f t="shared" ref="H10:H26" si="3">G10*$H$3/$G$3</f>
        <v>21.53846153846154</v>
      </c>
      <c r="I10" s="62">
        <f>CEILING(H10,0.5)</f>
        <v>22</v>
      </c>
      <c r="J10" s="55"/>
    </row>
    <row r="11" spans="1:16">
      <c r="A11" s="4">
        <f>SUBTOTAL(3,$B$10:$B11)*1</f>
        <v>2</v>
      </c>
      <c r="B11" s="10">
        <v>4843</v>
      </c>
      <c r="C11" s="11" t="s">
        <v>12</v>
      </c>
      <c r="D11" s="133">
        <v>60</v>
      </c>
      <c r="E11" s="133">
        <v>40</v>
      </c>
      <c r="F11" s="134">
        <v>30</v>
      </c>
      <c r="G11" s="31">
        <f t="shared" si="2"/>
        <v>130</v>
      </c>
      <c r="H11" s="33">
        <f t="shared" si="3"/>
        <v>100</v>
      </c>
      <c r="I11" s="64">
        <f t="shared" ref="I11:I25" si="4">CEILING(H11,0.5)</f>
        <v>100</v>
      </c>
      <c r="J11" s="55"/>
      <c r="L11" s="22"/>
    </row>
    <row r="12" spans="1:16">
      <c r="A12" s="4">
        <f>SUBTOTAL(3,$B$10:$B12)*1</f>
        <v>3</v>
      </c>
      <c r="B12" s="49">
        <v>5209</v>
      </c>
      <c r="C12" s="50" t="s">
        <v>13</v>
      </c>
      <c r="D12" s="133">
        <v>60</v>
      </c>
      <c r="E12" s="133">
        <v>38</v>
      </c>
      <c r="F12" s="134">
        <v>29</v>
      </c>
      <c r="G12" s="31">
        <f t="shared" si="2"/>
        <v>127</v>
      </c>
      <c r="H12" s="33">
        <f t="shared" si="3"/>
        <v>97.692307692307693</v>
      </c>
      <c r="I12" s="64">
        <f t="shared" si="4"/>
        <v>98</v>
      </c>
      <c r="J12" s="55"/>
    </row>
    <row r="13" spans="1:16">
      <c r="A13" s="4">
        <f>SUBTOTAL(3,$B$10:$B13)*1</f>
        <v>4</v>
      </c>
      <c r="B13" s="49">
        <v>5258</v>
      </c>
      <c r="C13" s="50" t="s">
        <v>14</v>
      </c>
      <c r="D13" s="133"/>
      <c r="E13" s="133"/>
      <c r="F13" s="134">
        <v>28</v>
      </c>
      <c r="G13" s="31">
        <f t="shared" si="2"/>
        <v>28</v>
      </c>
      <c r="H13" s="33">
        <f t="shared" si="3"/>
        <v>21.53846153846154</v>
      </c>
      <c r="I13" s="62">
        <f t="shared" si="4"/>
        <v>22</v>
      </c>
      <c r="J13" s="55"/>
    </row>
    <row r="14" spans="1:16">
      <c r="A14" s="4">
        <f>SUBTOTAL(3,$B$10:$B14)*1</f>
        <v>5</v>
      </c>
      <c r="B14" s="49">
        <v>7898</v>
      </c>
      <c r="C14" s="50" t="s">
        <v>16</v>
      </c>
      <c r="D14" s="133">
        <v>60</v>
      </c>
      <c r="E14" s="133">
        <v>39</v>
      </c>
      <c r="F14" s="134">
        <v>28</v>
      </c>
      <c r="G14" s="31">
        <f t="shared" ref="G14:G20" si="5">SUM(D14:F14)</f>
        <v>127</v>
      </c>
      <c r="H14" s="33">
        <f t="shared" ref="H14:H20" si="6">G14*$H$3/$G$3</f>
        <v>97.692307692307693</v>
      </c>
      <c r="I14" s="64">
        <f t="shared" si="4"/>
        <v>98</v>
      </c>
      <c r="J14" s="55"/>
    </row>
    <row r="15" spans="1:16">
      <c r="A15" s="4">
        <f>SUBTOTAL(3,$B$10:$B15)*1</f>
        <v>6</v>
      </c>
      <c r="B15" s="10">
        <v>11467</v>
      </c>
      <c r="C15" s="11" t="s">
        <v>17</v>
      </c>
      <c r="D15" s="133">
        <v>60</v>
      </c>
      <c r="E15" s="133">
        <v>40</v>
      </c>
      <c r="F15" s="134">
        <v>30</v>
      </c>
      <c r="G15" s="31">
        <f t="shared" si="5"/>
        <v>130</v>
      </c>
      <c r="H15" s="33">
        <f t="shared" si="6"/>
        <v>100</v>
      </c>
      <c r="I15" s="64">
        <f t="shared" si="4"/>
        <v>100</v>
      </c>
      <c r="J15" s="55"/>
    </row>
    <row r="16" spans="1:16">
      <c r="A16" s="4">
        <f>SUBTOTAL(3,$B$10:$B16)*1</f>
        <v>7</v>
      </c>
      <c r="B16" s="10">
        <v>12047</v>
      </c>
      <c r="C16" s="11" t="s">
        <v>18</v>
      </c>
      <c r="D16" s="133">
        <v>60</v>
      </c>
      <c r="E16" s="133">
        <v>39</v>
      </c>
      <c r="F16" s="134">
        <v>30</v>
      </c>
      <c r="G16" s="31">
        <f t="shared" si="5"/>
        <v>129</v>
      </c>
      <c r="H16" s="33">
        <f t="shared" si="6"/>
        <v>99.230769230769226</v>
      </c>
      <c r="I16" s="62">
        <f t="shared" si="4"/>
        <v>99.5</v>
      </c>
      <c r="J16" s="55"/>
    </row>
    <row r="17" spans="1:15" s="61" customFormat="1">
      <c r="A17" s="4">
        <f>SUBTOTAL(3,$B$10:$B17)*1</f>
        <v>8</v>
      </c>
      <c r="B17" s="49">
        <v>12259</v>
      </c>
      <c r="C17" s="50" t="s">
        <v>19</v>
      </c>
      <c r="D17" s="137">
        <v>60</v>
      </c>
      <c r="E17" s="137">
        <v>40</v>
      </c>
      <c r="F17" s="138">
        <v>29</v>
      </c>
      <c r="G17" s="31">
        <f t="shared" si="5"/>
        <v>129</v>
      </c>
      <c r="H17" s="33">
        <f t="shared" si="6"/>
        <v>99.230769230769226</v>
      </c>
      <c r="I17" s="62">
        <f t="shared" si="4"/>
        <v>99.5</v>
      </c>
      <c r="J17" s="55"/>
    </row>
    <row r="18" spans="1:15">
      <c r="A18" s="4">
        <f>SUBTOTAL(3,$B$10:$B18)*1</f>
        <v>9</v>
      </c>
      <c r="B18" s="10">
        <v>17151</v>
      </c>
      <c r="C18" s="11" t="s">
        <v>20</v>
      </c>
      <c r="D18" s="133"/>
      <c r="E18" s="133"/>
      <c r="F18" s="134">
        <v>29</v>
      </c>
      <c r="G18" s="31">
        <f t="shared" si="5"/>
        <v>29</v>
      </c>
      <c r="H18" s="33">
        <f t="shared" si="6"/>
        <v>22.307692307692307</v>
      </c>
      <c r="I18" s="62">
        <f t="shared" si="4"/>
        <v>22.5</v>
      </c>
      <c r="J18" s="55"/>
    </row>
    <row r="19" spans="1:15">
      <c r="A19" s="4">
        <f>SUBTOTAL(3,$B$10:$B19)*1</f>
        <v>10</v>
      </c>
      <c r="B19" s="10">
        <v>19197</v>
      </c>
      <c r="C19" s="11" t="s">
        <v>21</v>
      </c>
      <c r="D19" s="133">
        <v>58</v>
      </c>
      <c r="E19" s="133">
        <v>39</v>
      </c>
      <c r="F19" s="134">
        <v>30</v>
      </c>
      <c r="G19" s="31">
        <f t="shared" si="5"/>
        <v>127</v>
      </c>
      <c r="H19" s="33">
        <f t="shared" si="6"/>
        <v>97.692307692307693</v>
      </c>
      <c r="I19" s="62">
        <f t="shared" si="4"/>
        <v>98</v>
      </c>
      <c r="J19" s="55"/>
    </row>
    <row r="20" spans="1:15">
      <c r="A20" s="4">
        <f>SUBTOTAL(3,$B$10:$B20)*1</f>
        <v>11</v>
      </c>
      <c r="B20" s="10">
        <v>25647</v>
      </c>
      <c r="C20" s="11" t="s">
        <v>22</v>
      </c>
      <c r="D20" s="133">
        <v>60</v>
      </c>
      <c r="E20" s="133">
        <v>40</v>
      </c>
      <c r="F20" s="134">
        <v>30</v>
      </c>
      <c r="G20" s="31">
        <f t="shared" si="5"/>
        <v>130</v>
      </c>
      <c r="H20" s="33">
        <f t="shared" si="6"/>
        <v>100</v>
      </c>
      <c r="I20" s="62">
        <f t="shared" si="4"/>
        <v>100</v>
      </c>
      <c r="J20" s="55"/>
    </row>
    <row r="21" spans="1:15">
      <c r="A21" s="4">
        <f>SUBTOTAL(3,$B$10:$B21)*1</f>
        <v>12</v>
      </c>
      <c r="B21" s="10">
        <v>33577</v>
      </c>
      <c r="C21" s="11" t="s">
        <v>23</v>
      </c>
      <c r="D21" s="133">
        <v>60</v>
      </c>
      <c r="E21" s="133">
        <v>40</v>
      </c>
      <c r="F21" s="134">
        <v>28</v>
      </c>
      <c r="G21" s="31">
        <f t="shared" si="2"/>
        <v>128</v>
      </c>
      <c r="H21" s="33">
        <f t="shared" si="3"/>
        <v>98.461538461538467</v>
      </c>
      <c r="I21" s="62">
        <f t="shared" si="4"/>
        <v>98.5</v>
      </c>
      <c r="J21" s="55"/>
      <c r="O21" s="1" t="s">
        <v>87</v>
      </c>
    </row>
    <row r="22" spans="1:15">
      <c r="A22" s="4">
        <f>SUBTOTAL(3,$B$10:$B22)*1</f>
        <v>13</v>
      </c>
      <c r="B22" s="10">
        <v>32901</v>
      </c>
      <c r="C22" s="11" t="s">
        <v>24</v>
      </c>
      <c r="D22" s="133"/>
      <c r="E22" s="133"/>
      <c r="F22" s="134">
        <v>30</v>
      </c>
      <c r="G22" s="31">
        <f t="shared" si="2"/>
        <v>30</v>
      </c>
      <c r="H22" s="33">
        <f t="shared" si="3"/>
        <v>23.076923076923077</v>
      </c>
      <c r="I22" s="62">
        <f t="shared" si="4"/>
        <v>23.5</v>
      </c>
      <c r="J22" s="55"/>
    </row>
    <row r="23" spans="1:15">
      <c r="A23" s="4">
        <f>SUBTOTAL(3,$B$10:$B23)*1</f>
        <v>14</v>
      </c>
      <c r="B23" s="10">
        <v>35911</v>
      </c>
      <c r="C23" s="11" t="s">
        <v>25</v>
      </c>
      <c r="D23" s="133">
        <v>60</v>
      </c>
      <c r="E23" s="133">
        <v>40</v>
      </c>
      <c r="F23" s="134">
        <v>30</v>
      </c>
      <c r="G23" s="31">
        <f t="shared" si="2"/>
        <v>130</v>
      </c>
      <c r="H23" s="33">
        <f t="shared" si="3"/>
        <v>100</v>
      </c>
      <c r="I23" s="62">
        <f t="shared" si="4"/>
        <v>100</v>
      </c>
      <c r="J23" s="55"/>
    </row>
    <row r="24" spans="1:15">
      <c r="A24" s="4">
        <f>SUBTOTAL(3,$B$10:$B24)*1</f>
        <v>15</v>
      </c>
      <c r="B24" s="10">
        <v>62885</v>
      </c>
      <c r="C24" s="11" t="s">
        <v>26</v>
      </c>
      <c r="D24" s="133">
        <v>60</v>
      </c>
      <c r="E24" s="133">
        <v>39</v>
      </c>
      <c r="F24" s="134">
        <v>28</v>
      </c>
      <c r="G24" s="31">
        <f t="shared" si="2"/>
        <v>127</v>
      </c>
      <c r="H24" s="33">
        <f t="shared" si="3"/>
        <v>97.692307692307693</v>
      </c>
      <c r="I24" s="62">
        <f t="shared" si="4"/>
        <v>98</v>
      </c>
      <c r="J24" s="55"/>
    </row>
    <row r="25" spans="1:15">
      <c r="A25" s="4">
        <f>SUBTOTAL(3,$B$10:$B25)*1</f>
        <v>16</v>
      </c>
      <c r="B25" s="10">
        <v>37439</v>
      </c>
      <c r="C25" s="11" t="s">
        <v>27</v>
      </c>
      <c r="D25" s="133">
        <v>60</v>
      </c>
      <c r="E25" s="133">
        <v>40</v>
      </c>
      <c r="F25" s="134">
        <v>28</v>
      </c>
      <c r="G25" s="31">
        <f t="shared" si="2"/>
        <v>128</v>
      </c>
      <c r="H25" s="33">
        <f t="shared" si="3"/>
        <v>98.461538461538467</v>
      </c>
      <c r="I25" s="62">
        <f t="shared" si="4"/>
        <v>98.5</v>
      </c>
      <c r="J25" s="55"/>
    </row>
    <row r="26" spans="1:15" ht="24" thickBot="1">
      <c r="A26" s="4">
        <f>SUBTOTAL(3,$B$10:$B26)*1</f>
        <v>17</v>
      </c>
      <c r="B26" s="12">
        <v>37441</v>
      </c>
      <c r="C26" s="13" t="s">
        <v>28</v>
      </c>
      <c r="D26" s="139">
        <v>60</v>
      </c>
      <c r="E26" s="139">
        <v>40</v>
      </c>
      <c r="F26" s="140">
        <v>30</v>
      </c>
      <c r="G26" s="32">
        <f t="shared" si="2"/>
        <v>130</v>
      </c>
      <c r="H26" s="20">
        <f t="shared" si="3"/>
        <v>100</v>
      </c>
      <c r="I26" s="63">
        <f t="shared" ref="I26" si="7">CEILING(H26,0.5)</f>
        <v>100</v>
      </c>
      <c r="J26" s="56"/>
    </row>
  </sheetData>
  <autoFilter ref="D3:J3" xr:uid="{9A35B17B-5B95-443F-9D9A-8C522D7D6DB6}"/>
  <mergeCells count="4">
    <mergeCell ref="A1:J1"/>
    <mergeCell ref="A2:A3"/>
    <mergeCell ref="B2:B3"/>
    <mergeCell ref="C2:C3"/>
  </mergeCells>
  <conditionalFormatting sqref="D4:D8">
    <cfRule type="cellIs" dxfId="9" priority="6" operator="lessThan">
      <formula>54</formula>
    </cfRule>
  </conditionalFormatting>
  <conditionalFormatting sqref="E4:E8">
    <cfRule type="cellIs" dxfId="8" priority="5" operator="lessThan">
      <formula>36</formula>
    </cfRule>
  </conditionalFormatting>
  <conditionalFormatting sqref="F4:F8">
    <cfRule type="cellIs" dxfId="7" priority="4" operator="lessThan">
      <formula>27</formula>
    </cfRule>
  </conditionalFormatting>
  <conditionalFormatting sqref="G4:G8 G10:G26">
    <cfRule type="cellIs" dxfId="6" priority="3" operator="lessThan">
      <formula>117</formula>
    </cfRule>
  </conditionalFormatting>
  <conditionalFormatting sqref="I4:I8 I10:I26">
    <cfRule type="cellIs" dxfId="5" priority="2" operator="lessThan">
      <formula>90</formula>
    </cfRule>
  </conditionalFormatting>
  <printOptions horizontalCentered="1" verticalCentered="1"/>
  <pageMargins left="0.31496062992125984" right="0.31496062992125984" top="0.15748031496062992" bottom="0.15748031496062992" header="0.31496062992125984" footer="0.31496062992125984"/>
  <pageSetup paperSize="9" orientation="landscape" r:id="rId1"/>
  <rowBreaks count="2" manualBreakCount="2">
    <brk id="26" max="9" man="1"/>
    <brk id="31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C4F9-398C-4DC9-A86F-85BD807F3CFB}">
  <sheetPr filterMode="1">
    <tabColor theme="5" tint="-0.249977111117893"/>
  </sheetPr>
  <dimension ref="A1:Q43"/>
  <sheetViews>
    <sheetView zoomScale="90" zoomScaleNormal="90" workbookViewId="0">
      <pane xSplit="3" ySplit="3" topLeftCell="D19" activePane="bottomRight" state="frozen"/>
      <selection pane="topRight" activeCell="D1" sqref="D1"/>
      <selection pane="bottomLeft" activeCell="A4" sqref="A4"/>
      <selection pane="bottomRight" activeCell="R33" sqref="R33"/>
    </sheetView>
  </sheetViews>
  <sheetFormatPr defaultRowHeight="23.4"/>
  <cols>
    <col min="1" max="1" width="7.5546875" style="2" customWidth="1"/>
    <col min="2" max="2" width="8.88671875" style="2"/>
    <col min="3" max="3" width="31.6640625" style="1" customWidth="1"/>
    <col min="4" max="4" width="11.5546875" style="2" customWidth="1"/>
    <col min="5" max="5" width="12.21875" style="2" customWidth="1"/>
    <col min="6" max="6" width="11.5546875" style="2" customWidth="1"/>
    <col min="7" max="7" width="13.109375" style="1" customWidth="1"/>
    <col min="8" max="8" width="10.88671875" style="2" customWidth="1"/>
    <col min="9" max="9" width="11.21875" style="2" customWidth="1"/>
    <col min="10" max="10" width="24.44140625" style="2" customWidth="1"/>
    <col min="11" max="11" width="18.33203125" style="1" customWidth="1"/>
    <col min="12" max="16384" width="8.88671875" style="1"/>
  </cols>
  <sheetData>
    <row r="1" spans="1:17" ht="29.4" thickBot="1">
      <c r="A1" s="222" t="s">
        <v>146</v>
      </c>
      <c r="B1" s="223"/>
      <c r="C1" s="223"/>
      <c r="D1" s="223"/>
      <c r="E1" s="223"/>
      <c r="F1" s="223"/>
      <c r="G1" s="223"/>
      <c r="H1" s="198"/>
      <c r="I1" s="223"/>
      <c r="J1" s="223"/>
      <c r="K1" s="223"/>
    </row>
    <row r="2" spans="1:17" s="5" customFormat="1" ht="46.8">
      <c r="A2" s="188" t="s">
        <v>0</v>
      </c>
      <c r="B2" s="190" t="s">
        <v>1</v>
      </c>
      <c r="C2" s="190" t="s">
        <v>2</v>
      </c>
      <c r="D2" s="120" t="s">
        <v>3</v>
      </c>
      <c r="E2" s="120" t="s">
        <v>4</v>
      </c>
      <c r="F2" s="120" t="s">
        <v>83</v>
      </c>
      <c r="G2" s="21" t="s">
        <v>29</v>
      </c>
      <c r="H2" s="120" t="s">
        <v>30</v>
      </c>
      <c r="I2" s="23" t="s">
        <v>30</v>
      </c>
      <c r="J2" s="195" t="s">
        <v>81</v>
      </c>
      <c r="K2" s="195" t="s">
        <v>142</v>
      </c>
      <c r="N2" s="184" t="s">
        <v>3</v>
      </c>
      <c r="O2" s="21" t="s">
        <v>4</v>
      </c>
      <c r="P2" s="185" t="s">
        <v>83</v>
      </c>
      <c r="Q2" s="30" t="s">
        <v>29</v>
      </c>
    </row>
    <row r="3" spans="1:17" s="5" customFormat="1" ht="24" thickBot="1">
      <c r="A3" s="189"/>
      <c r="B3" s="191"/>
      <c r="C3" s="191"/>
      <c r="D3" s="7">
        <v>60</v>
      </c>
      <c r="E3" s="7">
        <v>40</v>
      </c>
      <c r="F3" s="7">
        <v>30</v>
      </c>
      <c r="G3" s="7">
        <f t="shared" ref="G3:G4" si="0">SUM(D3:F3)</f>
        <v>130</v>
      </c>
      <c r="H3" s="7">
        <v>100</v>
      </c>
      <c r="I3" s="24">
        <v>100</v>
      </c>
      <c r="J3" s="196"/>
      <c r="K3" s="196"/>
      <c r="N3" s="5">
        <f>(90*60)/100</f>
        <v>54</v>
      </c>
      <c r="O3" s="5">
        <f>(90*40)/100</f>
        <v>36</v>
      </c>
      <c r="P3" s="5">
        <f>(90*30)/100</f>
        <v>27</v>
      </c>
      <c r="Q3" s="5">
        <f>(90*130)/100</f>
        <v>117</v>
      </c>
    </row>
    <row r="4" spans="1:17">
      <c r="A4" s="4">
        <f>SUBTOTAL(3,$B$4:$B4)*1</f>
        <v>1</v>
      </c>
      <c r="B4" s="49">
        <v>2117</v>
      </c>
      <c r="C4" s="50" t="s">
        <v>32</v>
      </c>
      <c r="D4" s="49"/>
      <c r="E4" s="49"/>
      <c r="F4" s="49"/>
      <c r="G4" s="41">
        <f t="shared" si="0"/>
        <v>0</v>
      </c>
      <c r="H4" s="42">
        <f t="shared" ref="H4:H38" si="1">G4*$H$3/$G$3</f>
        <v>0</v>
      </c>
      <c r="I4" s="43">
        <f t="shared" ref="I4:I32" si="2">CEILING(H4,0.5)</f>
        <v>0</v>
      </c>
      <c r="J4" s="26"/>
      <c r="K4" s="15"/>
    </row>
    <row r="5" spans="1:17">
      <c r="A5" s="69">
        <f>SUBTOTAL(3,$B$4:$B5)*1</f>
        <v>2</v>
      </c>
      <c r="B5" s="49">
        <v>22954</v>
      </c>
      <c r="C5" s="50" t="s">
        <v>36</v>
      </c>
      <c r="D5" s="72"/>
      <c r="E5" s="72"/>
      <c r="F5" s="72"/>
      <c r="G5" s="41">
        <f t="shared" ref="G5:G6" si="3">SUM(D5:F5)</f>
        <v>0</v>
      </c>
      <c r="H5" s="42">
        <f t="shared" ref="H5:H6" si="4">G5*$H$3/$G$3</f>
        <v>0</v>
      </c>
      <c r="I5" s="43">
        <f t="shared" ref="I5:I6" si="5">CEILING(H5,0.5)</f>
        <v>0</v>
      </c>
      <c r="J5" s="26"/>
      <c r="K5" s="15"/>
    </row>
    <row r="6" spans="1:17">
      <c r="A6" s="69">
        <f>SUBTOTAL(3,$B$4:$B6)*1</f>
        <v>3</v>
      </c>
      <c r="B6" s="49">
        <v>34500</v>
      </c>
      <c r="C6" s="50" t="s">
        <v>40</v>
      </c>
      <c r="D6" s="72"/>
      <c r="E6" s="72"/>
      <c r="F6" s="72"/>
      <c r="G6" s="41">
        <f t="shared" si="3"/>
        <v>0</v>
      </c>
      <c r="H6" s="42">
        <f t="shared" si="4"/>
        <v>0</v>
      </c>
      <c r="I6" s="43">
        <f t="shared" si="5"/>
        <v>0</v>
      </c>
      <c r="J6" s="26"/>
      <c r="K6" s="15"/>
    </row>
    <row r="7" spans="1:17" ht="27" customHeight="1">
      <c r="A7" s="69">
        <f>SUBTOTAL(3,$B$4:$B7)*1</f>
        <v>4</v>
      </c>
      <c r="B7" s="49">
        <v>35518</v>
      </c>
      <c r="C7" s="50" t="s">
        <v>41</v>
      </c>
      <c r="D7" s="10"/>
      <c r="E7" s="10"/>
      <c r="F7" s="10"/>
      <c r="G7" s="41">
        <f t="shared" ref="G7:G32" si="6">SUM(D7:F7)</f>
        <v>0</v>
      </c>
      <c r="H7" s="42">
        <f t="shared" ref="H7:H32" si="7">G7*$H$3/$G$3</f>
        <v>0</v>
      </c>
      <c r="I7" s="43">
        <f t="shared" si="2"/>
        <v>0</v>
      </c>
      <c r="J7" s="26"/>
      <c r="K7" s="15"/>
    </row>
    <row r="8" spans="1:17" ht="27" customHeight="1">
      <c r="A8" s="69">
        <f>SUBTOTAL(3,$B$4:$B8)*1</f>
        <v>5</v>
      </c>
      <c r="B8" s="49">
        <v>35528</v>
      </c>
      <c r="C8" s="50" t="s">
        <v>42</v>
      </c>
      <c r="D8" s="10"/>
      <c r="E8" s="10"/>
      <c r="F8" s="10"/>
      <c r="G8" s="41">
        <f t="shared" si="6"/>
        <v>0</v>
      </c>
      <c r="H8" s="42">
        <f t="shared" si="7"/>
        <v>0</v>
      </c>
      <c r="I8" s="43">
        <f t="shared" si="2"/>
        <v>0</v>
      </c>
      <c r="J8" s="26"/>
      <c r="K8" s="15"/>
    </row>
    <row r="9" spans="1:17" ht="27" customHeight="1">
      <c r="A9" s="69">
        <f>SUBTOTAL(3,$B$4:$B9)*1</f>
        <v>6</v>
      </c>
      <c r="B9" s="49">
        <v>38834</v>
      </c>
      <c r="C9" s="50" t="s">
        <v>38</v>
      </c>
      <c r="D9" s="10"/>
      <c r="E9" s="10"/>
      <c r="F9" s="10"/>
      <c r="G9" s="41">
        <f t="shared" si="6"/>
        <v>0</v>
      </c>
      <c r="H9" s="42">
        <f t="shared" si="7"/>
        <v>0</v>
      </c>
      <c r="I9" s="43">
        <f t="shared" si="2"/>
        <v>0</v>
      </c>
      <c r="J9" s="26"/>
      <c r="K9" s="15"/>
    </row>
    <row r="10" spans="1:17" ht="27" customHeight="1">
      <c r="A10" s="69">
        <f>SUBTOTAL(3,$B$4:$B10)*1</f>
        <v>7</v>
      </c>
      <c r="B10" s="49">
        <v>60869</v>
      </c>
      <c r="C10" s="50" t="s">
        <v>48</v>
      </c>
      <c r="D10" s="10"/>
      <c r="E10" s="10"/>
      <c r="F10" s="10"/>
      <c r="G10" s="41">
        <f t="shared" si="6"/>
        <v>0</v>
      </c>
      <c r="H10" s="42">
        <f t="shared" si="7"/>
        <v>0</v>
      </c>
      <c r="I10" s="43">
        <f t="shared" si="2"/>
        <v>0</v>
      </c>
      <c r="J10" s="26"/>
      <c r="K10" s="15"/>
    </row>
    <row r="11" spans="1:17" ht="27" customHeight="1">
      <c r="A11" s="69">
        <f>SUBTOTAL(3,$B$4:$B11)*1</f>
        <v>8</v>
      </c>
      <c r="B11" s="49">
        <v>60886</v>
      </c>
      <c r="C11" s="50" t="s">
        <v>49</v>
      </c>
      <c r="D11" s="10"/>
      <c r="E11" s="10"/>
      <c r="F11" s="10"/>
      <c r="G11" s="41">
        <f t="shared" si="6"/>
        <v>0</v>
      </c>
      <c r="H11" s="42">
        <f t="shared" si="7"/>
        <v>0</v>
      </c>
      <c r="I11" s="43">
        <f t="shared" si="2"/>
        <v>0</v>
      </c>
      <c r="J11" s="26"/>
      <c r="K11" s="15"/>
    </row>
    <row r="12" spans="1:17" ht="27" customHeight="1">
      <c r="A12" s="69">
        <f>SUBTOTAL(3,$B$4:$B12)*1</f>
        <v>9</v>
      </c>
      <c r="B12" s="49">
        <v>60890</v>
      </c>
      <c r="C12" s="50" t="s">
        <v>50</v>
      </c>
      <c r="D12" s="10"/>
      <c r="E12" s="10"/>
      <c r="F12" s="10"/>
      <c r="G12" s="41">
        <f t="shared" si="6"/>
        <v>0</v>
      </c>
      <c r="H12" s="42">
        <f t="shared" si="7"/>
        <v>0</v>
      </c>
      <c r="I12" s="43">
        <f t="shared" si="2"/>
        <v>0</v>
      </c>
      <c r="J12" s="26"/>
      <c r="K12" s="15"/>
    </row>
    <row r="13" spans="1:17" ht="27" customHeight="1">
      <c r="A13" s="69">
        <f>SUBTOTAL(3,$B$4:$B13)*1</f>
        <v>10</v>
      </c>
      <c r="B13" s="49">
        <v>61826</v>
      </c>
      <c r="C13" s="50" t="s">
        <v>43</v>
      </c>
      <c r="D13" s="10"/>
      <c r="E13" s="10"/>
      <c r="F13" s="10"/>
      <c r="G13" s="41">
        <f t="shared" si="6"/>
        <v>0</v>
      </c>
      <c r="H13" s="42">
        <f t="shared" si="7"/>
        <v>0</v>
      </c>
      <c r="I13" s="43">
        <f t="shared" si="2"/>
        <v>0</v>
      </c>
      <c r="J13" s="26"/>
      <c r="K13" s="15"/>
    </row>
    <row r="14" spans="1:17" ht="27" customHeight="1">
      <c r="A14" s="69">
        <f>SUBTOTAL(3,$B$4:$B14)*1</f>
        <v>11</v>
      </c>
      <c r="B14" s="49">
        <v>62442</v>
      </c>
      <c r="C14" s="50" t="s">
        <v>52</v>
      </c>
      <c r="D14" s="10"/>
      <c r="E14" s="10"/>
      <c r="F14" s="10"/>
      <c r="G14" s="41">
        <f t="shared" si="6"/>
        <v>0</v>
      </c>
      <c r="H14" s="42">
        <f t="shared" si="7"/>
        <v>0</v>
      </c>
      <c r="I14" s="43">
        <f t="shared" si="2"/>
        <v>0</v>
      </c>
      <c r="J14" s="26"/>
      <c r="K14" s="15"/>
    </row>
    <row r="15" spans="1:17" ht="27" customHeight="1">
      <c r="A15" s="69">
        <f>SUBTOTAL(3,$B$4:$B15)*1</f>
        <v>12</v>
      </c>
      <c r="B15" s="49">
        <v>62559</v>
      </c>
      <c r="C15" s="50" t="s">
        <v>44</v>
      </c>
      <c r="D15" s="10"/>
      <c r="E15" s="10"/>
      <c r="F15" s="10"/>
      <c r="G15" s="41">
        <f t="shared" si="6"/>
        <v>0</v>
      </c>
      <c r="H15" s="42">
        <f t="shared" si="7"/>
        <v>0</v>
      </c>
      <c r="I15" s="43">
        <f t="shared" si="2"/>
        <v>0</v>
      </c>
      <c r="J15" s="26"/>
      <c r="K15" s="15"/>
    </row>
    <row r="16" spans="1:17" ht="27" customHeight="1">
      <c r="A16" s="69">
        <f>SUBTOTAL(3,$B$4:$B16)*1</f>
        <v>13</v>
      </c>
      <c r="B16" s="49">
        <v>62679</v>
      </c>
      <c r="C16" s="50" t="s">
        <v>39</v>
      </c>
      <c r="D16" s="10"/>
      <c r="E16" s="10"/>
      <c r="F16" s="10"/>
      <c r="G16" s="41">
        <f t="shared" si="6"/>
        <v>0</v>
      </c>
      <c r="H16" s="42">
        <f t="shared" si="7"/>
        <v>0</v>
      </c>
      <c r="I16" s="43">
        <f t="shared" si="2"/>
        <v>0</v>
      </c>
      <c r="J16" s="26"/>
      <c r="K16" s="15"/>
    </row>
    <row r="17" spans="1:11" ht="27" customHeight="1">
      <c r="A17" s="69">
        <f>SUBTOTAL(3,$B$4:$B17)*1</f>
        <v>14</v>
      </c>
      <c r="B17" s="49">
        <v>62681</v>
      </c>
      <c r="C17" s="50" t="s">
        <v>45</v>
      </c>
      <c r="D17" s="10"/>
      <c r="E17" s="10"/>
      <c r="F17" s="10"/>
      <c r="G17" s="41">
        <f t="shared" si="6"/>
        <v>0</v>
      </c>
      <c r="H17" s="42">
        <f t="shared" si="7"/>
        <v>0</v>
      </c>
      <c r="I17" s="43">
        <f t="shared" si="2"/>
        <v>0</v>
      </c>
      <c r="J17" s="26"/>
      <c r="K17" s="15"/>
    </row>
    <row r="18" spans="1:11" ht="27" customHeight="1">
      <c r="A18" s="69">
        <f>SUBTOTAL(3,$B$4:$B18)*1</f>
        <v>15</v>
      </c>
      <c r="B18" s="39">
        <v>62736</v>
      </c>
      <c r="C18" s="40" t="s">
        <v>54</v>
      </c>
      <c r="D18" s="3"/>
      <c r="E18" s="3"/>
      <c r="F18" s="3"/>
      <c r="G18" s="41">
        <f t="shared" si="6"/>
        <v>0</v>
      </c>
      <c r="H18" s="42">
        <f t="shared" si="7"/>
        <v>0</v>
      </c>
      <c r="I18" s="43">
        <f t="shared" si="2"/>
        <v>0</v>
      </c>
      <c r="J18" s="26"/>
      <c r="K18" s="15"/>
    </row>
    <row r="19" spans="1:11" ht="27" customHeight="1">
      <c r="A19" s="69">
        <f>SUBTOTAL(3,$B$4:$B19)*1</f>
        <v>16</v>
      </c>
      <c r="B19" s="49">
        <v>62810</v>
      </c>
      <c r="C19" s="50" t="s">
        <v>46</v>
      </c>
      <c r="D19" s="10"/>
      <c r="E19" s="10"/>
      <c r="F19" s="10"/>
      <c r="G19" s="41">
        <f t="shared" si="6"/>
        <v>0</v>
      </c>
      <c r="H19" s="42">
        <f t="shared" si="7"/>
        <v>0</v>
      </c>
      <c r="I19" s="43">
        <f t="shared" si="2"/>
        <v>0</v>
      </c>
      <c r="J19" s="26"/>
      <c r="K19" s="15"/>
    </row>
    <row r="20" spans="1:11" ht="27" customHeight="1">
      <c r="A20" s="69">
        <f>SUBTOTAL(3,$B$4:$B20)*1</f>
        <v>17</v>
      </c>
      <c r="B20" s="49">
        <v>62882</v>
      </c>
      <c r="C20" s="50" t="s">
        <v>47</v>
      </c>
      <c r="D20" s="10"/>
      <c r="E20" s="10"/>
      <c r="F20" s="10"/>
      <c r="G20" s="41">
        <f t="shared" si="6"/>
        <v>0</v>
      </c>
      <c r="H20" s="42">
        <f t="shared" si="7"/>
        <v>0</v>
      </c>
      <c r="I20" s="43">
        <f t="shared" si="2"/>
        <v>0</v>
      </c>
      <c r="J20" s="26"/>
      <c r="K20" s="15"/>
    </row>
    <row r="21" spans="1:11" ht="27" customHeight="1">
      <c r="A21" s="69">
        <f>SUBTOTAL(3,$B$4:$B21)*1</f>
        <v>18</v>
      </c>
      <c r="B21" s="39">
        <v>62952</v>
      </c>
      <c r="C21" s="40" t="s">
        <v>56</v>
      </c>
      <c r="D21" s="3"/>
      <c r="E21" s="3"/>
      <c r="F21" s="3"/>
      <c r="G21" s="41">
        <f t="shared" si="6"/>
        <v>0</v>
      </c>
      <c r="H21" s="42">
        <f t="shared" si="7"/>
        <v>0</v>
      </c>
      <c r="I21" s="43">
        <f t="shared" si="2"/>
        <v>0</v>
      </c>
      <c r="J21" s="26"/>
      <c r="K21" s="15"/>
    </row>
    <row r="22" spans="1:11" ht="27" customHeight="1">
      <c r="A22" s="69">
        <f>SUBTOTAL(3,$B$4:$B22)*1</f>
        <v>19</v>
      </c>
      <c r="B22" s="39">
        <v>62954</v>
      </c>
      <c r="C22" s="40" t="s">
        <v>57</v>
      </c>
      <c r="D22" s="3"/>
      <c r="E22" s="3"/>
      <c r="F22" s="3"/>
      <c r="G22" s="41">
        <f t="shared" si="6"/>
        <v>0</v>
      </c>
      <c r="H22" s="42">
        <f t="shared" si="7"/>
        <v>0</v>
      </c>
      <c r="I22" s="43">
        <f t="shared" si="2"/>
        <v>0</v>
      </c>
      <c r="J22" s="26"/>
      <c r="K22" s="15"/>
    </row>
    <row r="23" spans="1:11" ht="27" customHeight="1">
      <c r="A23" s="69">
        <f>SUBTOTAL(3,$B$4:$B23)*1</f>
        <v>20</v>
      </c>
      <c r="B23" s="39">
        <v>62956</v>
      </c>
      <c r="C23" s="40" t="s">
        <v>58</v>
      </c>
      <c r="D23" s="3"/>
      <c r="E23" s="3"/>
      <c r="F23" s="3"/>
      <c r="G23" s="41">
        <f t="shared" si="6"/>
        <v>0</v>
      </c>
      <c r="H23" s="42">
        <f t="shared" si="7"/>
        <v>0</v>
      </c>
      <c r="I23" s="43">
        <f t="shared" si="2"/>
        <v>0</v>
      </c>
      <c r="J23" s="26"/>
      <c r="K23" s="15"/>
    </row>
    <row r="24" spans="1:11" ht="27" customHeight="1">
      <c r="A24" s="69">
        <f>SUBTOTAL(3,$B$4:$B24)*1</f>
        <v>21</v>
      </c>
      <c r="B24" s="39">
        <v>63093</v>
      </c>
      <c r="C24" s="40" t="s">
        <v>59</v>
      </c>
      <c r="D24" s="3"/>
      <c r="E24" s="3"/>
      <c r="F24" s="3"/>
      <c r="G24" s="41">
        <f t="shared" si="6"/>
        <v>0</v>
      </c>
      <c r="H24" s="42">
        <f t="shared" si="7"/>
        <v>0</v>
      </c>
      <c r="I24" s="43">
        <f t="shared" si="2"/>
        <v>0</v>
      </c>
      <c r="J24" s="26"/>
      <c r="K24" s="15"/>
    </row>
    <row r="25" spans="1:11" ht="27" customHeight="1">
      <c r="A25" s="69">
        <f>SUBTOTAL(3,$B$4:$B25)*1</f>
        <v>22</v>
      </c>
      <c r="B25" s="39">
        <v>63159</v>
      </c>
      <c r="C25" s="40" t="s">
        <v>60</v>
      </c>
      <c r="D25" s="3"/>
      <c r="E25" s="3"/>
      <c r="F25" s="3"/>
      <c r="G25" s="41">
        <f t="shared" si="6"/>
        <v>0</v>
      </c>
      <c r="H25" s="42">
        <f t="shared" si="7"/>
        <v>0</v>
      </c>
      <c r="I25" s="43">
        <f t="shared" si="2"/>
        <v>0</v>
      </c>
      <c r="J25" s="26"/>
      <c r="K25" s="15"/>
    </row>
    <row r="26" spans="1:11" ht="27" customHeight="1">
      <c r="A26" s="69">
        <f>SUBTOTAL(3,$B$4:$B26)*1</f>
        <v>23</v>
      </c>
      <c r="B26" s="39">
        <v>63248</v>
      </c>
      <c r="C26" s="40" t="s">
        <v>61</v>
      </c>
      <c r="D26" s="3"/>
      <c r="E26" s="3"/>
      <c r="F26" s="3"/>
      <c r="G26" s="41">
        <f t="shared" si="6"/>
        <v>0</v>
      </c>
      <c r="H26" s="42">
        <f t="shared" si="7"/>
        <v>0</v>
      </c>
      <c r="I26" s="43">
        <f t="shared" si="2"/>
        <v>0</v>
      </c>
      <c r="J26" s="26"/>
      <c r="K26" s="186" t="s">
        <v>144</v>
      </c>
    </row>
    <row r="27" spans="1:11" ht="27" customHeight="1">
      <c r="A27" s="69">
        <f>SUBTOTAL(3,$B$4:$B27)*1</f>
        <v>24</v>
      </c>
      <c r="B27" s="39">
        <v>63249</v>
      </c>
      <c r="C27" s="40" t="s">
        <v>62</v>
      </c>
      <c r="D27" s="3"/>
      <c r="E27" s="3"/>
      <c r="F27" s="3"/>
      <c r="G27" s="41">
        <f t="shared" si="6"/>
        <v>0</v>
      </c>
      <c r="H27" s="42">
        <f t="shared" si="7"/>
        <v>0</v>
      </c>
      <c r="I27" s="43">
        <f t="shared" si="2"/>
        <v>0</v>
      </c>
      <c r="J27" s="26"/>
      <c r="K27" s="15"/>
    </row>
    <row r="28" spans="1:11" ht="27" customHeight="1">
      <c r="A28" s="69">
        <f>SUBTOTAL(3,$B$4:$B28)*1</f>
        <v>25</v>
      </c>
      <c r="B28" s="39">
        <v>63371</v>
      </c>
      <c r="C28" s="40" t="s">
        <v>63</v>
      </c>
      <c r="D28" s="3"/>
      <c r="E28" s="3"/>
      <c r="F28" s="3"/>
      <c r="G28" s="41">
        <f t="shared" si="6"/>
        <v>0</v>
      </c>
      <c r="H28" s="42">
        <f t="shared" si="7"/>
        <v>0</v>
      </c>
      <c r="I28" s="43">
        <f t="shared" si="2"/>
        <v>0</v>
      </c>
      <c r="J28" s="26"/>
      <c r="K28" s="15"/>
    </row>
    <row r="29" spans="1:11" ht="27" customHeight="1">
      <c r="A29" s="69">
        <f>SUBTOTAL(3,$B$4:$B29)*1</f>
        <v>26</v>
      </c>
      <c r="B29" s="39">
        <v>63431</v>
      </c>
      <c r="C29" s="40" t="s">
        <v>64</v>
      </c>
      <c r="D29" s="3"/>
      <c r="E29" s="3"/>
      <c r="F29" s="3"/>
      <c r="G29" s="41">
        <f t="shared" si="6"/>
        <v>0</v>
      </c>
      <c r="H29" s="42">
        <f t="shared" si="7"/>
        <v>0</v>
      </c>
      <c r="I29" s="43">
        <f t="shared" si="2"/>
        <v>0</v>
      </c>
      <c r="J29" s="26"/>
      <c r="K29" s="15"/>
    </row>
    <row r="30" spans="1:11" ht="27" customHeight="1">
      <c r="A30" s="69">
        <f>SUBTOTAL(3,$B$4:$B30)*1</f>
        <v>27</v>
      </c>
      <c r="B30" s="39">
        <v>63433</v>
      </c>
      <c r="C30" s="40" t="s">
        <v>66</v>
      </c>
      <c r="D30" s="39"/>
      <c r="E30" s="39"/>
      <c r="F30" s="39"/>
      <c r="G30" s="41">
        <f t="shared" si="6"/>
        <v>0</v>
      </c>
      <c r="H30" s="42">
        <f t="shared" si="7"/>
        <v>0</v>
      </c>
      <c r="I30" s="43">
        <f t="shared" si="2"/>
        <v>0</v>
      </c>
      <c r="J30" s="26"/>
      <c r="K30" s="15"/>
    </row>
    <row r="31" spans="1:11" ht="27" customHeight="1">
      <c r="A31" s="69">
        <f>SUBTOTAL(3,$B$4:$B31)*1</f>
        <v>28</v>
      </c>
      <c r="B31" s="39">
        <v>63436</v>
      </c>
      <c r="C31" s="40" t="s">
        <v>67</v>
      </c>
      <c r="D31" s="39"/>
      <c r="E31" s="39"/>
      <c r="F31" s="39"/>
      <c r="G31" s="41">
        <f t="shared" si="6"/>
        <v>0</v>
      </c>
      <c r="H31" s="42">
        <f t="shared" si="7"/>
        <v>0</v>
      </c>
      <c r="I31" s="43">
        <f t="shared" si="2"/>
        <v>0</v>
      </c>
      <c r="J31" s="26"/>
      <c r="K31" s="15"/>
    </row>
    <row r="32" spans="1:11" ht="27" customHeight="1">
      <c r="A32" s="69">
        <f>SUBTOTAL(3,$B$4:$B32)*1</f>
        <v>29</v>
      </c>
      <c r="B32" s="39">
        <v>63439</v>
      </c>
      <c r="C32" s="40" t="s">
        <v>65</v>
      </c>
      <c r="D32" s="3"/>
      <c r="E32" s="3"/>
      <c r="F32" s="3"/>
      <c r="G32" s="41">
        <f t="shared" si="6"/>
        <v>0</v>
      </c>
      <c r="H32" s="42">
        <f t="shared" si="7"/>
        <v>0</v>
      </c>
      <c r="I32" s="43">
        <f t="shared" si="2"/>
        <v>0</v>
      </c>
      <c r="J32" s="26"/>
      <c r="K32" s="15"/>
    </row>
    <row r="33" spans="1:11" ht="27" customHeight="1">
      <c r="A33" s="69">
        <f>SUBTOTAL(3,$B$4:$B33)*1</f>
        <v>30</v>
      </c>
      <c r="B33" s="39">
        <v>63550</v>
      </c>
      <c r="C33" s="40" t="s">
        <v>70</v>
      </c>
      <c r="D33" s="39"/>
      <c r="E33" s="39"/>
      <c r="F33" s="39"/>
      <c r="G33" s="41">
        <f t="shared" ref="G33:G37" si="8">SUM(D33:F33)</f>
        <v>0</v>
      </c>
      <c r="H33" s="42">
        <f t="shared" ref="H33:H37" si="9">G33*$H$3/$G$3</f>
        <v>0</v>
      </c>
      <c r="I33" s="43">
        <f t="shared" ref="I33:I37" si="10">CEILING(H33,0.5)</f>
        <v>0</v>
      </c>
      <c r="J33" s="26"/>
      <c r="K33" s="15"/>
    </row>
    <row r="34" spans="1:11" ht="27" customHeight="1">
      <c r="A34" s="69">
        <f>SUBTOTAL(3,$B$4:$B34)*1</f>
        <v>31</v>
      </c>
      <c r="B34" s="39">
        <v>63564</v>
      </c>
      <c r="C34" s="40" t="s">
        <v>72</v>
      </c>
      <c r="D34" s="39"/>
      <c r="E34" s="39"/>
      <c r="F34" s="39"/>
      <c r="G34" s="41">
        <f t="shared" si="8"/>
        <v>0</v>
      </c>
      <c r="H34" s="42">
        <f t="shared" si="9"/>
        <v>0</v>
      </c>
      <c r="I34" s="43">
        <f t="shared" si="10"/>
        <v>0</v>
      </c>
      <c r="J34" s="26"/>
      <c r="K34" s="186" t="s">
        <v>144</v>
      </c>
    </row>
    <row r="35" spans="1:11" ht="25.8" customHeight="1">
      <c r="A35" s="69">
        <f>SUBTOTAL(3,$B$4:$B35)*1</f>
        <v>32</v>
      </c>
      <c r="B35" s="39">
        <v>63567</v>
      </c>
      <c r="C35" s="40" t="s">
        <v>74</v>
      </c>
      <c r="D35" s="39"/>
      <c r="E35" s="39"/>
      <c r="F35" s="39"/>
      <c r="G35" s="41">
        <f t="shared" si="8"/>
        <v>0</v>
      </c>
      <c r="H35" s="42">
        <f t="shared" si="9"/>
        <v>0</v>
      </c>
      <c r="I35" s="43">
        <f t="shared" si="10"/>
        <v>0</v>
      </c>
      <c r="J35" s="26"/>
      <c r="K35" s="15"/>
    </row>
    <row r="36" spans="1:11" ht="25.8" customHeight="1">
      <c r="A36" s="69">
        <f>SUBTOTAL(3,$B$4:$B36)*1</f>
        <v>33</v>
      </c>
      <c r="B36" s="39">
        <v>63652</v>
      </c>
      <c r="C36" s="40" t="s">
        <v>75</v>
      </c>
      <c r="D36" s="39"/>
      <c r="E36" s="39"/>
      <c r="F36" s="39"/>
      <c r="G36" s="41">
        <f t="shared" si="8"/>
        <v>0</v>
      </c>
      <c r="H36" s="42">
        <f t="shared" si="9"/>
        <v>0</v>
      </c>
      <c r="I36" s="43">
        <f t="shared" si="10"/>
        <v>0</v>
      </c>
      <c r="J36" s="26"/>
      <c r="K36" s="15"/>
    </row>
    <row r="37" spans="1:11" ht="25.8" customHeight="1">
      <c r="A37" s="4">
        <f>SUBTOTAL(3,$B$4:$B37)*1</f>
        <v>34</v>
      </c>
      <c r="B37" s="39">
        <v>63658</v>
      </c>
      <c r="C37" s="40" t="s">
        <v>76</v>
      </c>
      <c r="D37" s="39"/>
      <c r="E37" s="39"/>
      <c r="F37" s="39"/>
      <c r="G37" s="41">
        <f t="shared" si="8"/>
        <v>0</v>
      </c>
      <c r="H37" s="42">
        <f t="shared" si="9"/>
        <v>0</v>
      </c>
      <c r="I37" s="43">
        <f t="shared" si="10"/>
        <v>0</v>
      </c>
      <c r="J37" s="26"/>
      <c r="K37" s="15"/>
    </row>
    <row r="38" spans="1:11" ht="25.8" customHeight="1">
      <c r="A38" s="4">
        <f>SUBTOTAL(3,$B$4:$B38)*1</f>
        <v>35</v>
      </c>
      <c r="B38" s="39">
        <v>64312</v>
      </c>
      <c r="C38" s="40" t="s">
        <v>78</v>
      </c>
      <c r="D38" s="39"/>
      <c r="E38" s="39"/>
      <c r="F38" s="39"/>
      <c r="G38" s="41">
        <f t="shared" ref="G38" si="11">SUM(D38:F38)</f>
        <v>0</v>
      </c>
      <c r="H38" s="42">
        <f t="shared" si="1"/>
        <v>0</v>
      </c>
      <c r="I38" s="43">
        <f t="shared" ref="I38" si="12">CEILING(H38,0.5)</f>
        <v>0</v>
      </c>
      <c r="J38" s="26"/>
      <c r="K38" s="58" t="s">
        <v>82</v>
      </c>
    </row>
    <row r="39" spans="1:11" ht="25.8" customHeight="1">
      <c r="A39" s="69">
        <f>SUBTOTAL(3,$B$4:$B39)*1</f>
        <v>36</v>
      </c>
      <c r="B39" s="39">
        <v>64313</v>
      </c>
      <c r="C39" s="40" t="s">
        <v>79</v>
      </c>
      <c r="D39" s="39"/>
      <c r="E39" s="39"/>
      <c r="F39" s="39"/>
      <c r="G39" s="41">
        <f t="shared" ref="G39:G40" si="13">SUM(D39:F39)</f>
        <v>0</v>
      </c>
      <c r="H39" s="42">
        <f t="shared" ref="H39:H40" si="14">G39*$H$3/$G$3</f>
        <v>0</v>
      </c>
      <c r="I39" s="43">
        <f t="shared" ref="I39:I40" si="15">CEILING(H39,0.5)</f>
        <v>0</v>
      </c>
      <c r="J39" s="26"/>
      <c r="K39" s="58" t="s">
        <v>82</v>
      </c>
    </row>
    <row r="40" spans="1:11" ht="25.8" customHeight="1" thickBot="1">
      <c r="A40" s="4">
        <f>SUBTOTAL(3,$B$4:$B40)*1</f>
        <v>37</v>
      </c>
      <c r="B40" s="44">
        <v>64355</v>
      </c>
      <c r="C40" s="45" t="s">
        <v>80</v>
      </c>
      <c r="D40" s="44"/>
      <c r="E40" s="44"/>
      <c r="F40" s="44"/>
      <c r="G40" s="41">
        <f t="shared" si="13"/>
        <v>0</v>
      </c>
      <c r="H40" s="42">
        <f t="shared" si="14"/>
        <v>0</v>
      </c>
      <c r="I40" s="43">
        <f t="shared" si="15"/>
        <v>0</v>
      </c>
      <c r="J40" s="26"/>
      <c r="K40" s="58" t="s">
        <v>82</v>
      </c>
    </row>
    <row r="41" spans="1:11" ht="61.2" customHeight="1"/>
    <row r="42" spans="1:11" ht="61.2" customHeight="1"/>
    <row r="43" spans="1:11" ht="61.2" customHeight="1"/>
  </sheetData>
  <autoFilter ref="A3:K40" xr:uid="{744EEC0E-EB26-4D05-910C-A4E14056A32A}">
    <filterColumn colId="10">
      <filters blank="1"/>
    </filterColumn>
  </autoFilter>
  <mergeCells count="6">
    <mergeCell ref="A1:K1"/>
    <mergeCell ref="A2:A3"/>
    <mergeCell ref="B2:B3"/>
    <mergeCell ref="C2:C3"/>
    <mergeCell ref="J2:J3"/>
    <mergeCell ref="K2:K3"/>
  </mergeCells>
  <printOptions horizontalCentered="1"/>
  <pageMargins left="0.11811023622047245" right="0.11811023622047245" top="0.15748031496062992" bottom="0.15748031496062992" header="0.31496062992125984" footer="0.31496062992125984"/>
  <pageSetup paperSize="9" scale="9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BB3B-5874-40D1-9303-E0C37361668B}">
  <sheetPr>
    <tabColor theme="5" tint="-0.249977111117893"/>
  </sheetPr>
  <dimension ref="A1:J14"/>
  <sheetViews>
    <sheetView workbookViewId="0">
      <selection activeCell="O14" sqref="O14"/>
    </sheetView>
  </sheetViews>
  <sheetFormatPr defaultRowHeight="28.2" customHeight="1"/>
  <cols>
    <col min="1" max="1" width="4.21875" style="89" customWidth="1"/>
    <col min="2" max="9" width="15.44140625" style="89" customWidth="1"/>
    <col min="10" max="10" width="30.77734375" style="89" customWidth="1"/>
    <col min="11" max="11" width="15.5546875" style="89" customWidth="1"/>
    <col min="12" max="16384" width="8.88671875" style="89"/>
  </cols>
  <sheetData>
    <row r="1" spans="1:10" s="84" customFormat="1" ht="39.6" customHeight="1">
      <c r="A1" s="83"/>
      <c r="B1" s="208" t="s">
        <v>147</v>
      </c>
      <c r="C1" s="208"/>
      <c r="D1" s="208"/>
      <c r="E1" s="208"/>
      <c r="F1" s="208"/>
      <c r="G1" s="208"/>
      <c r="H1" s="208"/>
      <c r="I1" s="208"/>
    </row>
    <row r="2" spans="1:10" s="84" customFormat="1" ht="35.4" customHeight="1">
      <c r="A2" s="83"/>
      <c r="B2" s="85" t="s">
        <v>145</v>
      </c>
      <c r="C2" s="85"/>
      <c r="D2" s="86"/>
      <c r="E2" s="86"/>
      <c r="F2" s="83"/>
      <c r="G2" s="83"/>
      <c r="H2" s="83"/>
      <c r="I2" s="83"/>
    </row>
    <row r="3" spans="1:10" ht="30.6" customHeight="1">
      <c r="A3" s="87"/>
      <c r="B3" s="199" t="s">
        <v>129</v>
      </c>
      <c r="C3" s="201" t="s">
        <v>130</v>
      </c>
      <c r="D3" s="205" t="s">
        <v>138</v>
      </c>
      <c r="E3" s="206"/>
      <c r="F3" s="206"/>
      <c r="G3" s="207"/>
      <c r="H3" s="209" t="s">
        <v>81</v>
      </c>
      <c r="I3" s="210"/>
    </row>
    <row r="4" spans="1:10" ht="26.4" customHeight="1">
      <c r="A4" s="87"/>
      <c r="B4" s="200"/>
      <c r="C4" s="202"/>
      <c r="D4" s="114" t="s">
        <v>139</v>
      </c>
      <c r="E4" s="114" t="s">
        <v>134</v>
      </c>
      <c r="F4" s="121" t="s">
        <v>140</v>
      </c>
      <c r="G4" s="121" t="s">
        <v>134</v>
      </c>
      <c r="H4" s="211"/>
      <c r="I4" s="212"/>
    </row>
    <row r="5" spans="1:10" ht="30" customHeight="1">
      <c r="A5" s="87"/>
      <c r="B5" s="88" t="s">
        <v>132</v>
      </c>
      <c r="C5" s="88">
        <v>17</v>
      </c>
      <c r="D5" s="88"/>
      <c r="E5" s="99">
        <f>D5/C5</f>
        <v>0</v>
      </c>
      <c r="F5" s="122"/>
      <c r="G5" s="123">
        <f>F5/C5</f>
        <v>0</v>
      </c>
      <c r="H5" s="215"/>
      <c r="I5" s="216"/>
    </row>
    <row r="6" spans="1:10" ht="30" customHeight="1">
      <c r="A6" s="87"/>
      <c r="B6" s="97" t="s">
        <v>133</v>
      </c>
      <c r="C6" s="100">
        <v>37</v>
      </c>
      <c r="D6" s="97"/>
      <c r="E6" s="102">
        <f>D6/C6</f>
        <v>0</v>
      </c>
      <c r="F6" s="124"/>
      <c r="G6" s="125">
        <f>F6/C6</f>
        <v>0</v>
      </c>
      <c r="H6" s="213"/>
      <c r="I6" s="214"/>
    </row>
    <row r="7" spans="1:10" ht="45.6" customHeight="1">
      <c r="A7" s="87"/>
      <c r="B7" s="113" t="s">
        <v>135</v>
      </c>
      <c r="C7" s="113">
        <f>SUM(C5:C6)</f>
        <v>54</v>
      </c>
      <c r="D7" s="113">
        <f>SUM(D5:D6)</f>
        <v>0</v>
      </c>
      <c r="E7" s="115">
        <f>D7/C7</f>
        <v>0</v>
      </c>
      <c r="F7" s="126">
        <f>SUM(F5:F6)</f>
        <v>0</v>
      </c>
      <c r="G7" s="127">
        <f>F7/C7</f>
        <v>0</v>
      </c>
      <c r="H7" s="217"/>
      <c r="I7" s="218"/>
    </row>
    <row r="8" spans="1:10" ht="39" customHeight="1">
      <c r="A8" s="87"/>
      <c r="B8" s="92"/>
      <c r="C8" s="92"/>
      <c r="D8" s="93"/>
      <c r="E8" s="93"/>
      <c r="F8" s="94"/>
      <c r="G8" s="94"/>
      <c r="H8" s="95"/>
      <c r="I8" s="96"/>
    </row>
    <row r="9" spans="1:10" s="84" customFormat="1" ht="35.4" customHeight="1">
      <c r="A9" s="83"/>
      <c r="B9" s="85" t="s">
        <v>141</v>
      </c>
      <c r="C9" s="85"/>
      <c r="D9" s="86"/>
      <c r="E9" s="86"/>
      <c r="F9" s="83"/>
      <c r="G9" s="83"/>
      <c r="H9" s="83"/>
      <c r="I9" s="83"/>
    </row>
    <row r="10" spans="1:10" ht="30.6" customHeight="1">
      <c r="A10" s="87"/>
      <c r="B10" s="199" t="s">
        <v>129</v>
      </c>
      <c r="C10" s="201" t="s">
        <v>130</v>
      </c>
      <c r="D10" s="201" t="s">
        <v>131</v>
      </c>
      <c r="E10" s="205" t="s">
        <v>138</v>
      </c>
      <c r="F10" s="206"/>
      <c r="G10" s="206"/>
      <c r="H10" s="207"/>
      <c r="I10" s="203" t="s">
        <v>142</v>
      </c>
      <c r="J10" s="199" t="s">
        <v>81</v>
      </c>
    </row>
    <row r="11" spans="1:10" ht="26.4" customHeight="1">
      <c r="A11" s="87"/>
      <c r="B11" s="200"/>
      <c r="C11" s="202"/>
      <c r="D11" s="202"/>
      <c r="E11" s="114" t="s">
        <v>139</v>
      </c>
      <c r="F11" s="114" t="s">
        <v>134</v>
      </c>
      <c r="G11" s="121" t="s">
        <v>140</v>
      </c>
      <c r="H11" s="121" t="s">
        <v>134</v>
      </c>
      <c r="I11" s="204"/>
      <c r="J11" s="200"/>
    </row>
    <row r="12" spans="1:10" ht="30" customHeight="1">
      <c r="A12" s="87"/>
      <c r="B12" s="88" t="s">
        <v>132</v>
      </c>
      <c r="C12" s="88">
        <v>17</v>
      </c>
      <c r="D12" s="88">
        <v>17</v>
      </c>
      <c r="E12" s="90"/>
      <c r="F12" s="101">
        <f>E12/D12</f>
        <v>0</v>
      </c>
      <c r="G12" s="122"/>
      <c r="H12" s="123">
        <f>G12/D12</f>
        <v>0</v>
      </c>
      <c r="I12" s="112" t="s">
        <v>137</v>
      </c>
      <c r="J12" s="91"/>
    </row>
    <row r="13" spans="1:10" ht="30" customHeight="1">
      <c r="A13" s="87"/>
      <c r="B13" s="97" t="s">
        <v>133</v>
      </c>
      <c r="C13" s="100">
        <v>37</v>
      </c>
      <c r="D13" s="97">
        <v>33</v>
      </c>
      <c r="E13" s="98"/>
      <c r="F13" s="103">
        <f>E13/D13</f>
        <v>0</v>
      </c>
      <c r="G13" s="124"/>
      <c r="H13" s="123">
        <f t="shared" ref="H13" si="0">G13/D13</f>
        <v>0</v>
      </c>
      <c r="I13" s="105">
        <v>4</v>
      </c>
      <c r="J13" s="111"/>
    </row>
    <row r="14" spans="1:10" ht="45.6" customHeight="1">
      <c r="A14" s="87"/>
      <c r="B14" s="113" t="s">
        <v>135</v>
      </c>
      <c r="C14" s="113">
        <f>SUM(C12:C13)</f>
        <v>54</v>
      </c>
      <c r="D14" s="113">
        <f>SUM(D12:D13)</f>
        <v>50</v>
      </c>
      <c r="E14" s="116">
        <f>SUM(E12:E13)</f>
        <v>0</v>
      </c>
      <c r="F14" s="117">
        <f>E14/D14</f>
        <v>0</v>
      </c>
      <c r="G14" s="126">
        <f>SUM(G12:G13)</f>
        <v>0</v>
      </c>
      <c r="H14" s="127">
        <f>G14/D14</f>
        <v>0</v>
      </c>
      <c r="I14" s="118">
        <f>SUM(I12:I13)</f>
        <v>4</v>
      </c>
      <c r="J14" s="119"/>
    </row>
  </sheetData>
  <mergeCells count="14">
    <mergeCell ref="H5:I5"/>
    <mergeCell ref="B1:I1"/>
    <mergeCell ref="B3:B4"/>
    <mergeCell ref="C3:C4"/>
    <mergeCell ref="D3:G3"/>
    <mergeCell ref="H3:I4"/>
    <mergeCell ref="J10:J11"/>
    <mergeCell ref="H6:I6"/>
    <mergeCell ref="H7:I7"/>
    <mergeCell ref="B10:B11"/>
    <mergeCell ref="C10:C11"/>
    <mergeCell ref="D10:D11"/>
    <mergeCell ref="E10:H10"/>
    <mergeCell ref="I10:I11"/>
  </mergeCells>
  <pageMargins left="0.51181102362204722" right="0.31496062992125984" top="0.35433070866141736" bottom="0.35433070866141736" header="0.31496062992125984" footer="0.31496062992125984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FB19-25A1-4212-9CAD-9D2F014DD381}">
  <sheetPr>
    <tabColor theme="7" tint="0.39997558519241921"/>
  </sheetPr>
  <dimension ref="A1:U27"/>
  <sheetViews>
    <sheetView zoomScaleNormal="100" workbookViewId="0">
      <selection activeCell="S11" sqref="S11"/>
    </sheetView>
  </sheetViews>
  <sheetFormatPr defaultColWidth="9.44140625" defaultRowHeight="23.4"/>
  <cols>
    <col min="1" max="2" width="9.44140625" style="2"/>
    <col min="3" max="3" width="31.5546875" style="1" customWidth="1"/>
    <col min="4" max="6" width="10" style="2" customWidth="1"/>
    <col min="7" max="7" width="13.6640625" style="1" customWidth="1"/>
    <col min="8" max="8" width="9.44140625" style="2" customWidth="1"/>
    <col min="9" max="9" width="9.44140625" style="2"/>
    <col min="10" max="10" width="20.77734375" style="2" customWidth="1"/>
    <col min="11" max="11" width="17.77734375" style="2" customWidth="1"/>
    <col min="12" max="13" width="18.33203125" style="2" customWidth="1"/>
    <col min="14" max="14" width="21.21875" style="1" customWidth="1"/>
    <col min="15" max="16384" width="9.44140625" style="1"/>
  </cols>
  <sheetData>
    <row r="1" spans="1:21" ht="29.4" thickBot="1">
      <c r="A1" s="226" t="s">
        <v>148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8"/>
    </row>
    <row r="2" spans="1:21" s="5" customFormat="1">
      <c r="A2" s="188" t="s">
        <v>0</v>
      </c>
      <c r="B2" s="190" t="s">
        <v>1</v>
      </c>
      <c r="C2" s="190" t="s">
        <v>2</v>
      </c>
      <c r="D2" s="229" t="s">
        <v>151</v>
      </c>
      <c r="E2" s="230"/>
      <c r="F2" s="231"/>
      <c r="G2" s="30" t="s">
        <v>154</v>
      </c>
      <c r="H2" s="120" t="s">
        <v>153</v>
      </c>
      <c r="I2" s="23" t="s">
        <v>155</v>
      </c>
      <c r="J2" s="23" t="s">
        <v>157</v>
      </c>
      <c r="K2" s="23" t="s">
        <v>159</v>
      </c>
      <c r="L2" s="23" t="s">
        <v>161</v>
      </c>
      <c r="M2" s="23" t="s">
        <v>162</v>
      </c>
      <c r="N2" s="82" t="s">
        <v>81</v>
      </c>
    </row>
    <row r="3" spans="1:21" s="5" customFormat="1">
      <c r="A3" s="232"/>
      <c r="B3" s="234"/>
      <c r="C3" s="234"/>
      <c r="D3" s="224" t="s">
        <v>149</v>
      </c>
      <c r="E3" s="224" t="s">
        <v>150</v>
      </c>
      <c r="F3" s="160" t="s">
        <v>135</v>
      </c>
      <c r="G3" s="182" t="s">
        <v>152</v>
      </c>
      <c r="H3" s="180"/>
      <c r="I3" s="180" t="s">
        <v>156</v>
      </c>
      <c r="J3" s="147" t="s">
        <v>158</v>
      </c>
      <c r="K3" s="147" t="s">
        <v>160</v>
      </c>
      <c r="L3" s="147"/>
      <c r="M3" s="147"/>
      <c r="N3" s="142"/>
      <c r="O3" s="51"/>
      <c r="P3" s="51"/>
      <c r="Q3" s="51"/>
      <c r="R3" s="51"/>
      <c r="S3" s="51"/>
      <c r="T3" s="51"/>
    </row>
    <row r="4" spans="1:21" s="5" customFormat="1">
      <c r="A4" s="233"/>
      <c r="B4" s="225"/>
      <c r="C4" s="225"/>
      <c r="D4" s="225"/>
      <c r="E4" s="225"/>
      <c r="F4" s="144">
        <v>30</v>
      </c>
      <c r="G4" s="145">
        <v>15</v>
      </c>
      <c r="H4" s="144">
        <v>10</v>
      </c>
      <c r="I4" s="145">
        <v>15</v>
      </c>
      <c r="J4" s="145">
        <v>20</v>
      </c>
      <c r="K4" s="145">
        <v>10</v>
      </c>
      <c r="L4" s="145">
        <f>SUM(F4:K4)</f>
        <v>100</v>
      </c>
      <c r="M4" s="145"/>
      <c r="N4" s="146"/>
      <c r="O4" s="51"/>
      <c r="P4" s="51"/>
      <c r="Q4" s="51"/>
      <c r="R4" s="51"/>
      <c r="S4" s="51"/>
      <c r="T4" s="51"/>
    </row>
    <row r="5" spans="1:21">
      <c r="A5" s="4">
        <v>1</v>
      </c>
      <c r="B5" s="129">
        <v>1730</v>
      </c>
      <c r="C5" s="130" t="s">
        <v>5</v>
      </c>
      <c r="D5" s="149">
        <f>VLOOKUP(B5,'2C 2B ครั้งที่ 1'!$B$4:$I$28,8,0)</f>
        <v>89.5</v>
      </c>
      <c r="E5" s="131">
        <f>VLOOKUP(B5,'2C 2B ครั้งที่ 2'!$B$4:$I$26,8,0)</f>
        <v>95.5</v>
      </c>
      <c r="F5" s="187">
        <f>AVERAGE(D5:E5)</f>
        <v>92.5</v>
      </c>
      <c r="G5" s="31"/>
      <c r="H5" s="33"/>
      <c r="I5" s="66"/>
      <c r="J5" s="66"/>
      <c r="K5" s="66"/>
      <c r="L5" s="66"/>
      <c r="M5" s="66"/>
      <c r="N5" s="143"/>
      <c r="Q5" s="51"/>
      <c r="R5" s="51"/>
      <c r="S5" s="51"/>
      <c r="T5" s="51"/>
      <c r="U5" s="5"/>
    </row>
    <row r="6" spans="1:21">
      <c r="A6" s="80">
        <v>2</v>
      </c>
      <c r="B6" s="10">
        <v>5540</v>
      </c>
      <c r="C6" s="11" t="s">
        <v>6</v>
      </c>
      <c r="D6" s="152">
        <f>VLOOKUP(B6,'2C 2B ครั้งที่ 1'!$B$4:$I$28,8,0)</f>
        <v>98</v>
      </c>
      <c r="E6" s="131">
        <f>VLOOKUP(B6,'2C 2B ครั้งที่ 2'!$B$4:$I$26,8,0)</f>
        <v>98</v>
      </c>
      <c r="F6" s="181">
        <f t="shared" ref="F6:F27" si="0">AVERAGE(D6:E6)</f>
        <v>98</v>
      </c>
      <c r="G6" s="31"/>
      <c r="H6" s="33"/>
      <c r="I6" s="62"/>
      <c r="J6" s="62"/>
      <c r="K6" s="62"/>
      <c r="L6" s="62"/>
      <c r="M6" s="62"/>
      <c r="N6" s="55"/>
      <c r="Q6" s="51"/>
      <c r="R6" s="51"/>
      <c r="S6" s="51"/>
      <c r="T6" s="51"/>
      <c r="U6" s="5"/>
    </row>
    <row r="7" spans="1:21">
      <c r="A7" s="80">
        <v>3</v>
      </c>
      <c r="B7" s="10">
        <v>9038</v>
      </c>
      <c r="C7" s="11" t="s">
        <v>7</v>
      </c>
      <c r="D7" s="151">
        <f>VLOOKUP(B7,'2C 2B ครั้งที่ 1'!$B$4:$I$28,8,0)</f>
        <v>98.5</v>
      </c>
      <c r="E7" s="131">
        <f>VLOOKUP(B7,'2C 2B ครั้งที่ 2'!$B$4:$I$26,8,0)</f>
        <v>97</v>
      </c>
      <c r="F7" s="148">
        <f t="shared" si="0"/>
        <v>97.75</v>
      </c>
      <c r="G7" s="31"/>
      <c r="H7" s="33"/>
      <c r="I7" s="62"/>
      <c r="J7" s="62"/>
      <c r="K7" s="62"/>
      <c r="L7" s="62"/>
      <c r="M7" s="62"/>
      <c r="N7" s="55"/>
      <c r="Q7" s="51"/>
      <c r="R7" s="51"/>
      <c r="S7" s="51"/>
      <c r="T7" s="51"/>
      <c r="U7" s="5"/>
    </row>
    <row r="8" spans="1:21">
      <c r="A8" s="80">
        <v>4</v>
      </c>
      <c r="B8" s="10">
        <v>12324</v>
      </c>
      <c r="C8" s="11" t="s">
        <v>8</v>
      </c>
      <c r="D8" s="152">
        <f>VLOOKUP(B8,'2C 2B ครั้งที่ 1'!$B$4:$I$28,8,0)</f>
        <v>94</v>
      </c>
      <c r="E8" s="131">
        <f>VLOOKUP(B8,'2C 2B ครั้งที่ 2'!$B$4:$I$26,8,0)</f>
        <v>98</v>
      </c>
      <c r="F8" s="181">
        <f t="shared" si="0"/>
        <v>96</v>
      </c>
      <c r="G8" s="31"/>
      <c r="H8" s="33"/>
      <c r="I8" s="64"/>
      <c r="J8" s="64"/>
      <c r="K8" s="64"/>
      <c r="L8" s="64"/>
      <c r="M8" s="64"/>
      <c r="N8" s="55"/>
      <c r="Q8" s="51"/>
      <c r="R8" s="51"/>
      <c r="S8" s="51"/>
      <c r="T8" s="51"/>
      <c r="U8" s="5"/>
    </row>
    <row r="9" spans="1:21">
      <c r="A9" s="80">
        <v>5</v>
      </c>
      <c r="B9" s="10">
        <v>18512</v>
      </c>
      <c r="C9" s="11" t="s">
        <v>9</v>
      </c>
      <c r="D9" s="151">
        <f>VLOOKUP(B9,'2C 2B ครั้งที่ 1'!$B$4:$I$28,8,0)</f>
        <v>95.5</v>
      </c>
      <c r="E9" s="131">
        <f>VLOOKUP(B9,'2C 2B ครั้งที่ 2'!$B$4:$I$26,8,0)</f>
        <v>96.5</v>
      </c>
      <c r="F9" s="181">
        <f t="shared" si="0"/>
        <v>96</v>
      </c>
      <c r="G9" s="31"/>
      <c r="H9" s="33"/>
      <c r="I9" s="66"/>
      <c r="J9" s="66"/>
      <c r="K9" s="66"/>
      <c r="L9" s="66"/>
      <c r="M9" s="66"/>
      <c r="N9" s="55"/>
      <c r="Q9" s="51"/>
      <c r="R9" s="51"/>
      <c r="S9" s="51"/>
      <c r="T9" s="51"/>
      <c r="U9" s="5"/>
    </row>
    <row r="10" spans="1:21">
      <c r="A10" s="81"/>
      <c r="B10" s="34"/>
      <c r="C10" s="35"/>
      <c r="D10" s="153"/>
      <c r="E10" s="153"/>
      <c r="F10" s="153"/>
      <c r="G10" s="153"/>
      <c r="H10" s="38"/>
      <c r="I10" s="54"/>
      <c r="J10" s="54"/>
      <c r="K10" s="54"/>
      <c r="L10" s="54"/>
      <c r="M10" s="54"/>
      <c r="N10" s="52"/>
      <c r="Q10" s="51"/>
      <c r="R10" s="51"/>
      <c r="S10" s="51"/>
      <c r="T10" s="51"/>
      <c r="U10" s="5"/>
    </row>
    <row r="11" spans="1:21">
      <c r="A11" s="4">
        <f>SUBTOTAL(3,$B$11:$B11)*1</f>
        <v>1</v>
      </c>
      <c r="B11" s="10">
        <v>3643</v>
      </c>
      <c r="C11" s="11" t="s">
        <v>11</v>
      </c>
      <c r="D11" s="151">
        <f>VLOOKUP(B11,'2C 2B ครั้งที่ 1'!$B$4:$I$28,8,0)</f>
        <v>93.5</v>
      </c>
      <c r="E11" s="131">
        <f>VLOOKUP(B11,'2C 2B ครั้งที่ 2'!$B$4:$I$26,8,0)</f>
        <v>22</v>
      </c>
      <c r="F11" s="148">
        <f t="shared" si="0"/>
        <v>57.75</v>
      </c>
      <c r="G11" s="31"/>
      <c r="H11" s="33"/>
      <c r="I11" s="62"/>
      <c r="J11" s="62"/>
      <c r="K11" s="62"/>
      <c r="L11" s="62"/>
      <c r="M11" s="62"/>
      <c r="N11" s="55"/>
    </row>
    <row r="12" spans="1:21">
      <c r="A12" s="4">
        <f>SUBTOTAL(3,$B$11:$B12)*1</f>
        <v>2</v>
      </c>
      <c r="B12" s="10">
        <v>4843</v>
      </c>
      <c r="C12" s="11" t="s">
        <v>12</v>
      </c>
      <c r="D12" s="151">
        <f>VLOOKUP(B12,'2C 2B ครั้งที่ 1'!$B$4:$I$28,8,0)</f>
        <v>92.5</v>
      </c>
      <c r="E12" s="131">
        <f>VLOOKUP(B12,'2C 2B ครั้งที่ 2'!$B$4:$I$26,8,0)</f>
        <v>100</v>
      </c>
      <c r="F12" s="148">
        <f t="shared" si="0"/>
        <v>96.25</v>
      </c>
      <c r="G12" s="31"/>
      <c r="H12" s="33"/>
      <c r="I12" s="62"/>
      <c r="J12" s="62"/>
      <c r="K12" s="62"/>
      <c r="L12" s="62"/>
      <c r="M12" s="62"/>
      <c r="N12" s="55"/>
      <c r="P12" s="22"/>
    </row>
    <row r="13" spans="1:21">
      <c r="A13" s="4">
        <f>SUBTOTAL(3,$B$11:$B13)*1</f>
        <v>3</v>
      </c>
      <c r="B13" s="49">
        <v>5209</v>
      </c>
      <c r="C13" s="50" t="s">
        <v>13</v>
      </c>
      <c r="D13" s="151">
        <f>VLOOKUP(B13,'2C 2B ครั้งที่ 1'!$B$4:$I$28,8,0)</f>
        <v>96.5</v>
      </c>
      <c r="E13" s="131">
        <f>VLOOKUP(B13,'2C 2B ครั้งที่ 2'!$B$4:$I$26,8,0)</f>
        <v>98</v>
      </c>
      <c r="F13" s="148">
        <f t="shared" si="0"/>
        <v>97.25</v>
      </c>
      <c r="G13" s="31"/>
      <c r="H13" s="33"/>
      <c r="I13" s="62"/>
      <c r="J13" s="62"/>
      <c r="K13" s="62"/>
      <c r="L13" s="62"/>
      <c r="M13" s="62"/>
      <c r="N13" s="55"/>
    </row>
    <row r="14" spans="1:21">
      <c r="A14" s="4">
        <f>SUBTOTAL(3,$B$11:$B14)*1</f>
        <v>4</v>
      </c>
      <c r="B14" s="49">
        <v>5258</v>
      </c>
      <c r="C14" s="50" t="s">
        <v>14</v>
      </c>
      <c r="D14" s="152">
        <f>VLOOKUP(B14,'2C 2B ครั้งที่ 1'!$B$4:$I$28,8,0)</f>
        <v>95</v>
      </c>
      <c r="E14" s="131">
        <f>VLOOKUP(B14,'2C 2B ครั้งที่ 2'!$B$4:$I$26,8,0)</f>
        <v>22</v>
      </c>
      <c r="F14" s="148">
        <f t="shared" si="0"/>
        <v>58.5</v>
      </c>
      <c r="G14" s="31"/>
      <c r="H14" s="33"/>
      <c r="I14" s="62"/>
      <c r="J14" s="62"/>
      <c r="K14" s="62"/>
      <c r="L14" s="62"/>
      <c r="M14" s="62"/>
      <c r="N14" s="55"/>
    </row>
    <row r="15" spans="1:21">
      <c r="A15" s="4">
        <f>SUBTOTAL(3,$B$11:$B15)*1</f>
        <v>5</v>
      </c>
      <c r="B15" s="49">
        <v>7898</v>
      </c>
      <c r="C15" s="50" t="s">
        <v>16</v>
      </c>
      <c r="D15" s="152">
        <f>VLOOKUP(B15,'2C 2B ครั้งที่ 1'!$B$4:$I$28,8,0)</f>
        <v>90</v>
      </c>
      <c r="E15" s="131">
        <f>VLOOKUP(B15,'2C 2B ครั้งที่ 2'!$B$4:$I$26,8,0)</f>
        <v>98</v>
      </c>
      <c r="F15" s="148">
        <f t="shared" si="0"/>
        <v>94</v>
      </c>
      <c r="G15" s="31"/>
      <c r="H15" s="33"/>
      <c r="I15" s="62"/>
      <c r="J15" s="62"/>
      <c r="K15" s="62"/>
      <c r="L15" s="62"/>
      <c r="M15" s="62"/>
      <c r="N15" s="55"/>
    </row>
    <row r="16" spans="1:21">
      <c r="A16" s="4">
        <f>SUBTOTAL(3,$B$11:$B16)*1</f>
        <v>6</v>
      </c>
      <c r="B16" s="10">
        <v>11467</v>
      </c>
      <c r="C16" s="11" t="s">
        <v>17</v>
      </c>
      <c r="D16" s="151">
        <f>VLOOKUP(B16,'2C 2B ครั้งที่ 1'!$B$4:$I$28,8,0)</f>
        <v>99.5</v>
      </c>
      <c r="E16" s="131">
        <f>VLOOKUP(B16,'2C 2B ครั้งที่ 2'!$B$4:$I$26,8,0)</f>
        <v>100</v>
      </c>
      <c r="F16" s="148">
        <f t="shared" si="0"/>
        <v>99.75</v>
      </c>
      <c r="G16" s="31"/>
      <c r="H16" s="33"/>
      <c r="I16" s="62"/>
      <c r="J16" s="62"/>
      <c r="K16" s="62"/>
      <c r="L16" s="62"/>
      <c r="M16" s="62"/>
      <c r="N16" s="55"/>
    </row>
    <row r="17" spans="1:19">
      <c r="A17" s="4">
        <f>SUBTOTAL(3,$B$11:$B17)*1</f>
        <v>7</v>
      </c>
      <c r="B17" s="10">
        <v>12047</v>
      </c>
      <c r="C17" s="11" t="s">
        <v>18</v>
      </c>
      <c r="D17" s="151">
        <f>VLOOKUP(B17,'2C 2B ครั้งที่ 1'!$B$4:$I$28,8,0)</f>
        <v>95.5</v>
      </c>
      <c r="E17" s="131">
        <f>VLOOKUP(B17,'2C 2B ครั้งที่ 2'!$B$4:$I$26,8,0)</f>
        <v>99.5</v>
      </c>
      <c r="F17" s="148">
        <f t="shared" si="0"/>
        <v>97.5</v>
      </c>
      <c r="G17" s="31"/>
      <c r="H17" s="33"/>
      <c r="I17" s="62"/>
      <c r="J17" s="62"/>
      <c r="K17" s="62"/>
      <c r="L17" s="62"/>
      <c r="M17" s="62"/>
      <c r="N17" s="55"/>
    </row>
    <row r="18" spans="1:19" s="61" customFormat="1">
      <c r="A18" s="4">
        <f>SUBTOTAL(3,$B$11:$B18)*1</f>
        <v>8</v>
      </c>
      <c r="B18" s="156">
        <v>12259</v>
      </c>
      <c r="C18" s="157" t="s">
        <v>19</v>
      </c>
      <c r="D18" s="150">
        <f>VLOOKUP(B18,'2C 2B ครั้งที่ 1'!$B$4:$I$28,8,0)</f>
        <v>100</v>
      </c>
      <c r="E18" s="131">
        <f>VLOOKUP(B18,'2C 2B ครั้งที่ 2'!$B$4:$I$26,8,0)</f>
        <v>99.5</v>
      </c>
      <c r="F18" s="148">
        <f t="shared" si="0"/>
        <v>99.75</v>
      </c>
      <c r="G18" s="31"/>
      <c r="H18" s="33"/>
      <c r="I18" s="62"/>
      <c r="J18" s="62"/>
      <c r="K18" s="62"/>
      <c r="L18" s="62"/>
      <c r="M18" s="62"/>
      <c r="N18" s="158" t="s">
        <v>88</v>
      </c>
    </row>
    <row r="19" spans="1:19">
      <c r="A19" s="4">
        <f>SUBTOTAL(3,$B$11:$B19)*1</f>
        <v>9</v>
      </c>
      <c r="B19" s="10">
        <v>17151</v>
      </c>
      <c r="C19" s="11" t="s">
        <v>20</v>
      </c>
      <c r="D19" s="152">
        <f>VLOOKUP(B19,'2C 2B ครั้งที่ 1'!$B$4:$I$28,8,0)</f>
        <v>92</v>
      </c>
      <c r="E19" s="131">
        <f>VLOOKUP(B19,'2C 2B ครั้งที่ 2'!$B$4:$I$26,8,0)</f>
        <v>22.5</v>
      </c>
      <c r="F19" s="148">
        <f t="shared" si="0"/>
        <v>57.25</v>
      </c>
      <c r="G19" s="31"/>
      <c r="H19" s="33"/>
      <c r="I19" s="62"/>
      <c r="J19" s="62"/>
      <c r="K19" s="62"/>
      <c r="L19" s="62"/>
      <c r="M19" s="62"/>
      <c r="N19" s="55"/>
    </row>
    <row r="20" spans="1:19">
      <c r="A20" s="4">
        <f>SUBTOTAL(3,$B$11:$B20)*1</f>
        <v>10</v>
      </c>
      <c r="B20" s="10">
        <v>19197</v>
      </c>
      <c r="C20" s="11" t="s">
        <v>21</v>
      </c>
      <c r="D20" s="152">
        <f>VLOOKUP(B20,'2C 2B ครั้งที่ 1'!$B$4:$I$28,8,0)</f>
        <v>95</v>
      </c>
      <c r="E20" s="131">
        <f>VLOOKUP(B20,'2C 2B ครั้งที่ 2'!$B$4:$I$26,8,0)</f>
        <v>98</v>
      </c>
      <c r="F20" s="148">
        <f t="shared" si="0"/>
        <v>96.5</v>
      </c>
      <c r="G20" s="31"/>
      <c r="H20" s="33"/>
      <c r="I20" s="62"/>
      <c r="J20" s="62"/>
      <c r="K20" s="62"/>
      <c r="L20" s="62"/>
      <c r="M20" s="62"/>
      <c r="N20" s="55"/>
    </row>
    <row r="21" spans="1:19">
      <c r="A21" s="4">
        <f>SUBTOTAL(3,$B$11:$B21)*1</f>
        <v>11</v>
      </c>
      <c r="B21" s="10">
        <v>25647</v>
      </c>
      <c r="C21" s="11" t="s">
        <v>22</v>
      </c>
      <c r="D21" s="152">
        <f>VLOOKUP(B21,'2C 2B ครั้งที่ 1'!$B$4:$I$28,8,0)</f>
        <v>92</v>
      </c>
      <c r="E21" s="131">
        <f>VLOOKUP(B21,'2C 2B ครั้งที่ 2'!$B$4:$I$26,8,0)</f>
        <v>100</v>
      </c>
      <c r="F21" s="148">
        <f t="shared" si="0"/>
        <v>96</v>
      </c>
      <c r="G21" s="31"/>
      <c r="H21" s="33"/>
      <c r="I21" s="62"/>
      <c r="J21" s="62"/>
      <c r="K21" s="62"/>
      <c r="L21" s="62"/>
      <c r="M21" s="62"/>
      <c r="N21" s="55"/>
    </row>
    <row r="22" spans="1:19">
      <c r="A22" s="4">
        <f>SUBTOTAL(3,$B$11:$B22)*1</f>
        <v>12</v>
      </c>
      <c r="B22" s="10">
        <v>33577</v>
      </c>
      <c r="C22" s="11" t="s">
        <v>23</v>
      </c>
      <c r="D22" s="152">
        <f>VLOOKUP(B22,'2C 2B ครั้งที่ 1'!$B$4:$I$28,8,0)</f>
        <v>98</v>
      </c>
      <c r="E22" s="131">
        <f>VLOOKUP(B22,'2C 2B ครั้งที่ 2'!$B$4:$I$26,8,0)</f>
        <v>98.5</v>
      </c>
      <c r="F22" s="148">
        <f t="shared" si="0"/>
        <v>98.25</v>
      </c>
      <c r="G22" s="31"/>
      <c r="H22" s="33"/>
      <c r="I22" s="62"/>
      <c r="J22" s="62"/>
      <c r="K22" s="62"/>
      <c r="L22" s="62"/>
      <c r="M22" s="62"/>
      <c r="N22" s="55"/>
      <c r="S22" s="1" t="s">
        <v>87</v>
      </c>
    </row>
    <row r="23" spans="1:19">
      <c r="A23" s="4">
        <f>SUBTOTAL(3,$B$11:$B23)*1</f>
        <v>13</v>
      </c>
      <c r="B23" s="10">
        <v>32901</v>
      </c>
      <c r="C23" s="11" t="s">
        <v>24</v>
      </c>
      <c r="D23" s="151">
        <f>VLOOKUP(B23,'2C 2B ครั้งที่ 1'!$B$4:$I$28,8,0)</f>
        <v>96.5</v>
      </c>
      <c r="E23" s="131">
        <f>VLOOKUP(B23,'2C 2B ครั้งที่ 2'!$B$4:$I$26,8,0)</f>
        <v>23.5</v>
      </c>
      <c r="F23" s="148">
        <f t="shared" si="0"/>
        <v>60</v>
      </c>
      <c r="G23" s="31"/>
      <c r="H23" s="33"/>
      <c r="I23" s="62"/>
      <c r="J23" s="62"/>
      <c r="K23" s="62"/>
      <c r="L23" s="62"/>
      <c r="M23" s="62"/>
      <c r="N23" s="55"/>
    </row>
    <row r="24" spans="1:19">
      <c r="A24" s="4">
        <f>SUBTOTAL(3,$B$11:$B24)*1</f>
        <v>14</v>
      </c>
      <c r="B24" s="10">
        <v>35911</v>
      </c>
      <c r="C24" s="11" t="s">
        <v>25</v>
      </c>
      <c r="D24" s="152">
        <f>VLOOKUP(B24,'2C 2B ครั้งที่ 1'!$B$4:$I$28,8,0)</f>
        <v>95</v>
      </c>
      <c r="E24" s="131">
        <f>VLOOKUP(B24,'2C 2B ครั้งที่ 2'!$B$4:$I$26,8,0)</f>
        <v>100</v>
      </c>
      <c r="F24" s="148">
        <f t="shared" si="0"/>
        <v>97.5</v>
      </c>
      <c r="G24" s="31"/>
      <c r="H24" s="33"/>
      <c r="I24" s="62"/>
      <c r="J24" s="62"/>
      <c r="K24" s="62"/>
      <c r="L24" s="62"/>
      <c r="M24" s="62"/>
      <c r="N24" s="55"/>
    </row>
    <row r="25" spans="1:19">
      <c r="A25" s="4">
        <f>SUBTOTAL(3,$B$11:$B25)*1</f>
        <v>15</v>
      </c>
      <c r="B25" s="10">
        <v>62885</v>
      </c>
      <c r="C25" s="11" t="s">
        <v>26</v>
      </c>
      <c r="D25" s="152">
        <f>VLOOKUP(B25,'2C 2B ครั้งที่ 1'!$B$4:$I$28,8,0)</f>
        <v>98</v>
      </c>
      <c r="E25" s="131">
        <f>VLOOKUP(B25,'2C 2B ครั้งที่ 2'!$B$4:$I$26,8,0)</f>
        <v>98</v>
      </c>
      <c r="F25" s="148">
        <f t="shared" si="0"/>
        <v>98</v>
      </c>
      <c r="G25" s="31"/>
      <c r="H25" s="33"/>
      <c r="I25" s="62"/>
      <c r="J25" s="62"/>
      <c r="K25" s="62"/>
      <c r="L25" s="62"/>
      <c r="M25" s="62"/>
      <c r="N25" s="55"/>
    </row>
    <row r="26" spans="1:19">
      <c r="A26" s="4">
        <f>SUBTOTAL(3,$B$11:$B26)*1</f>
        <v>16</v>
      </c>
      <c r="B26" s="10">
        <v>37439</v>
      </c>
      <c r="C26" s="11" t="s">
        <v>27</v>
      </c>
      <c r="D26" s="151">
        <f>VLOOKUP(B26,'2C 2B ครั้งที่ 1'!$B$4:$I$28,8,0)</f>
        <v>98.5</v>
      </c>
      <c r="E26" s="131">
        <f>VLOOKUP(B26,'2C 2B ครั้งที่ 2'!$B$4:$I$26,8,0)</f>
        <v>98.5</v>
      </c>
      <c r="F26" s="148">
        <f t="shared" si="0"/>
        <v>98.5</v>
      </c>
      <c r="G26" s="31"/>
      <c r="H26" s="33"/>
      <c r="I26" s="62"/>
      <c r="J26" s="62"/>
      <c r="K26" s="62"/>
      <c r="L26" s="62"/>
      <c r="M26" s="62"/>
      <c r="N26" s="55"/>
    </row>
    <row r="27" spans="1:19" ht="24" thickBot="1">
      <c r="A27" s="141">
        <f>SUBTOTAL(3,$B$11:$B27)*1</f>
        <v>17</v>
      </c>
      <c r="B27" s="12">
        <v>37441</v>
      </c>
      <c r="C27" s="13" t="s">
        <v>28</v>
      </c>
      <c r="D27" s="154">
        <f>VLOOKUP(B27,'2C 2B ครั้งที่ 1'!$B$4:$I$28,8,0)</f>
        <v>98.5</v>
      </c>
      <c r="E27" s="139">
        <f>VLOOKUP(B27,'2C 2B ครั้งที่ 2'!$B$4:$I$26,8,0)</f>
        <v>100</v>
      </c>
      <c r="F27" s="155">
        <f t="shared" si="0"/>
        <v>99.25</v>
      </c>
      <c r="G27" s="32"/>
      <c r="H27" s="20"/>
      <c r="I27" s="63"/>
      <c r="J27" s="63"/>
      <c r="K27" s="63"/>
      <c r="L27" s="63"/>
      <c r="M27" s="63"/>
      <c r="N27" s="56"/>
    </row>
  </sheetData>
  <mergeCells count="7">
    <mergeCell ref="E3:E4"/>
    <mergeCell ref="A1:N1"/>
    <mergeCell ref="D2:F2"/>
    <mergeCell ref="A2:A4"/>
    <mergeCell ref="B2:B4"/>
    <mergeCell ref="C2:C4"/>
    <mergeCell ref="D3:D4"/>
  </mergeCells>
  <conditionalFormatting sqref="D5:D9 D11:D27">
    <cfRule type="cellIs" dxfId="4" priority="5" operator="lessThan">
      <formula>54</formula>
    </cfRule>
  </conditionalFormatting>
  <conditionalFormatting sqref="E5:E9 E11:E27">
    <cfRule type="cellIs" dxfId="3" priority="4" operator="lessThan">
      <formula>36</formula>
    </cfRule>
  </conditionalFormatting>
  <conditionalFormatting sqref="F5:F9 F11:F27">
    <cfRule type="cellIs" dxfId="2" priority="3" operator="lessThan">
      <formula>27</formula>
    </cfRule>
  </conditionalFormatting>
  <conditionalFormatting sqref="G5:G9 G11:G27">
    <cfRule type="cellIs" dxfId="1" priority="2" operator="lessThan">
      <formula>117</formula>
    </cfRule>
  </conditionalFormatting>
  <conditionalFormatting sqref="I5:M9 I11:M27">
    <cfRule type="cellIs" dxfId="0" priority="1" operator="lessThan">
      <formula>90</formula>
    </cfRule>
  </conditionalFormatting>
  <printOptions horizontalCentered="1" verticalCentered="1"/>
  <pageMargins left="0.31496062992125984" right="0.31496062992125984" top="0.15748031496062992" bottom="0.15748031496062992" header="0.31496062992125984" footer="0.31496062992125984"/>
  <pageSetup paperSize="9" orientation="landscape" r:id="rId1"/>
  <rowBreaks count="2" manualBreakCount="2">
    <brk id="27" max="9" man="1"/>
    <brk id="32" max="9" man="1"/>
  </rowBreaks>
  <ignoredErrors>
    <ignoredError sqref="D5:D9 D11:D27 F5:F9 F11:F27 E5:E27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A090-6302-45EB-9319-C5D62D55060F}">
  <sheetPr>
    <tabColor theme="7" tint="0.39997558519241921"/>
  </sheetPr>
  <dimension ref="A1:T44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4" sqref="A4"/>
      <selection pane="bottomRight" activeCell="S14" sqref="S14"/>
    </sheetView>
  </sheetViews>
  <sheetFormatPr defaultRowHeight="23.4"/>
  <cols>
    <col min="1" max="1" width="7.5546875" style="2" customWidth="1"/>
    <col min="2" max="2" width="8.88671875" style="2"/>
    <col min="3" max="3" width="31.6640625" style="1" customWidth="1"/>
    <col min="4" max="4" width="11.5546875" style="2" customWidth="1"/>
    <col min="5" max="5" width="12.21875" style="2" customWidth="1"/>
    <col min="6" max="6" width="11.5546875" style="2" customWidth="1"/>
    <col min="7" max="7" width="13.109375" style="1" customWidth="1"/>
    <col min="8" max="8" width="10.88671875" style="2" customWidth="1"/>
    <col min="9" max="9" width="11.21875" style="2" customWidth="1"/>
    <col min="10" max="10" width="22.6640625" style="2" customWidth="1"/>
    <col min="11" max="11" width="18.33203125" style="1" customWidth="1"/>
    <col min="12" max="13" width="10.109375" style="1" customWidth="1"/>
    <col min="14" max="14" width="22" style="1" customWidth="1"/>
    <col min="15" max="16384" width="8.88671875" style="1"/>
  </cols>
  <sheetData>
    <row r="1" spans="1:20" ht="49.2" customHeight="1" thickBot="1">
      <c r="A1" s="235" t="s">
        <v>165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</row>
    <row r="2" spans="1:20" s="5" customFormat="1">
      <c r="A2" s="188" t="s">
        <v>0</v>
      </c>
      <c r="B2" s="190" t="s">
        <v>1</v>
      </c>
      <c r="C2" s="190" t="s">
        <v>2</v>
      </c>
      <c r="D2" s="229" t="s">
        <v>151</v>
      </c>
      <c r="E2" s="230"/>
      <c r="F2" s="231"/>
      <c r="G2" s="30" t="s">
        <v>154</v>
      </c>
      <c r="H2" s="128" t="s">
        <v>153</v>
      </c>
      <c r="I2" s="23" t="s">
        <v>155</v>
      </c>
      <c r="J2" s="23" t="s">
        <v>157</v>
      </c>
      <c r="K2" s="23" t="s">
        <v>159</v>
      </c>
      <c r="L2" s="23" t="s">
        <v>161</v>
      </c>
      <c r="M2" s="23" t="s">
        <v>162</v>
      </c>
      <c r="N2" s="82" t="s">
        <v>81</v>
      </c>
    </row>
    <row r="3" spans="1:20" s="5" customFormat="1">
      <c r="A3" s="232"/>
      <c r="B3" s="234"/>
      <c r="C3" s="234"/>
      <c r="D3" s="224" t="s">
        <v>149</v>
      </c>
      <c r="E3" s="224" t="s">
        <v>150</v>
      </c>
      <c r="F3" s="160" t="s">
        <v>135</v>
      </c>
      <c r="G3" s="182" t="s">
        <v>152</v>
      </c>
      <c r="H3" s="180"/>
      <c r="I3" s="180" t="s">
        <v>156</v>
      </c>
      <c r="J3" s="147" t="s">
        <v>158</v>
      </c>
      <c r="K3" s="147" t="s">
        <v>160</v>
      </c>
      <c r="L3" s="147"/>
      <c r="M3" s="147"/>
      <c r="N3" s="142"/>
      <c r="O3" s="51"/>
      <c r="P3" s="51"/>
      <c r="Q3" s="51"/>
      <c r="R3" s="51"/>
      <c r="S3" s="51"/>
      <c r="T3" s="51"/>
    </row>
    <row r="4" spans="1:20" s="5" customFormat="1" ht="24" thickBot="1">
      <c r="A4" s="232"/>
      <c r="B4" s="234"/>
      <c r="C4" s="234"/>
      <c r="D4" s="191"/>
      <c r="E4" s="191"/>
      <c r="F4" s="183">
        <v>30</v>
      </c>
      <c r="G4" s="159">
        <v>15</v>
      </c>
      <c r="H4" s="160">
        <v>10</v>
      </c>
      <c r="I4" s="159">
        <v>15</v>
      </c>
      <c r="J4" s="159">
        <v>20</v>
      </c>
      <c r="K4" s="159">
        <v>10</v>
      </c>
      <c r="L4" s="159">
        <f>SUM(F4:K4)</f>
        <v>100</v>
      </c>
      <c r="M4" s="159"/>
      <c r="N4" s="161"/>
      <c r="O4" s="51"/>
      <c r="P4" s="51"/>
      <c r="Q4" s="51"/>
      <c r="R4" s="51"/>
      <c r="S4" s="51"/>
      <c r="T4" s="51"/>
    </row>
    <row r="5" spans="1:20" ht="24.6" customHeight="1">
      <c r="A5" s="162">
        <f>SUBTOTAL(3,$B$5:$B5)*1</f>
        <v>1</v>
      </c>
      <c r="B5" s="163">
        <v>2117</v>
      </c>
      <c r="C5" s="164" t="s">
        <v>32</v>
      </c>
      <c r="D5" s="178">
        <v>98.5</v>
      </c>
      <c r="E5" s="163"/>
      <c r="F5" s="163"/>
      <c r="G5" s="165"/>
      <c r="H5" s="166"/>
      <c r="I5" s="167"/>
      <c r="J5" s="168"/>
      <c r="K5" s="168"/>
      <c r="L5" s="168"/>
      <c r="M5" s="168"/>
      <c r="N5" s="27"/>
    </row>
    <row r="6" spans="1:20" ht="24.6" customHeight="1">
      <c r="A6" s="169">
        <f>SUBTOTAL(3,$B$5:$B6)*1</f>
        <v>2</v>
      </c>
      <c r="B6" s="49">
        <v>22954</v>
      </c>
      <c r="C6" s="50" t="s">
        <v>36</v>
      </c>
      <c r="D6" s="49">
        <v>98.5</v>
      </c>
      <c r="E6" s="49"/>
      <c r="F6" s="49"/>
      <c r="G6" s="41"/>
      <c r="H6" s="42"/>
      <c r="I6" s="170"/>
      <c r="J6" s="171"/>
      <c r="K6" s="171"/>
      <c r="L6" s="171"/>
      <c r="M6" s="171"/>
      <c r="N6" s="15"/>
    </row>
    <row r="7" spans="1:20" ht="24.6" customHeight="1">
      <c r="A7" s="169">
        <f>SUBTOTAL(3,$B$5:$B7)*1</f>
        <v>3</v>
      </c>
      <c r="B7" s="49">
        <v>34500</v>
      </c>
      <c r="C7" s="50" t="s">
        <v>40</v>
      </c>
      <c r="D7" s="49">
        <v>99.5</v>
      </c>
      <c r="E7" s="49"/>
      <c r="F7" s="49"/>
      <c r="G7" s="41"/>
      <c r="H7" s="42"/>
      <c r="I7" s="170"/>
      <c r="J7" s="171"/>
      <c r="K7" s="171"/>
      <c r="L7" s="171"/>
      <c r="M7" s="171"/>
      <c r="N7" s="15"/>
    </row>
    <row r="8" spans="1:20" ht="24.6" customHeight="1">
      <c r="A8" s="169">
        <f>SUBTOTAL(3,$B$5:$B8)*1</f>
        <v>4</v>
      </c>
      <c r="B8" s="49">
        <v>35518</v>
      </c>
      <c r="C8" s="50" t="s">
        <v>41</v>
      </c>
      <c r="D8" s="49">
        <v>93.5</v>
      </c>
      <c r="E8" s="49"/>
      <c r="F8" s="49"/>
      <c r="G8" s="41"/>
      <c r="H8" s="42"/>
      <c r="I8" s="170"/>
      <c r="J8" s="171"/>
      <c r="K8" s="171"/>
      <c r="L8" s="171"/>
      <c r="M8" s="171"/>
      <c r="N8" s="15"/>
    </row>
    <row r="9" spans="1:20" ht="24.6" customHeight="1">
      <c r="A9" s="169">
        <f>SUBTOTAL(3,$B$5:$B9)*1</f>
        <v>5</v>
      </c>
      <c r="B9" s="49">
        <v>35528</v>
      </c>
      <c r="C9" s="50" t="s">
        <v>42</v>
      </c>
      <c r="D9" s="49">
        <v>98.5</v>
      </c>
      <c r="E9" s="49"/>
      <c r="F9" s="49"/>
      <c r="G9" s="41"/>
      <c r="H9" s="42"/>
      <c r="I9" s="170"/>
      <c r="J9" s="171"/>
      <c r="K9" s="171"/>
      <c r="L9" s="171"/>
      <c r="M9" s="171"/>
      <c r="N9" s="15"/>
    </row>
    <row r="10" spans="1:20" ht="24.6" customHeight="1">
      <c r="A10" s="169">
        <f>SUBTOTAL(3,$B$5:$B10)*1</f>
        <v>6</v>
      </c>
      <c r="B10" s="49">
        <v>38834</v>
      </c>
      <c r="C10" s="50" t="s">
        <v>38</v>
      </c>
      <c r="D10" s="49">
        <v>100</v>
      </c>
      <c r="E10" s="49"/>
      <c r="F10" s="49"/>
      <c r="G10" s="41"/>
      <c r="H10" s="42"/>
      <c r="I10" s="170"/>
      <c r="J10" s="171"/>
      <c r="K10" s="171"/>
      <c r="L10" s="171"/>
      <c r="M10" s="171"/>
      <c r="N10" s="15"/>
    </row>
    <row r="11" spans="1:20" ht="24.6" customHeight="1">
      <c r="A11" s="169">
        <f>SUBTOTAL(3,$B$5:$B11)*1</f>
        <v>7</v>
      </c>
      <c r="B11" s="49">
        <v>60869</v>
      </c>
      <c r="C11" s="50" t="s">
        <v>48</v>
      </c>
      <c r="D11" s="49">
        <v>96.5</v>
      </c>
      <c r="E11" s="49"/>
      <c r="F11" s="49"/>
      <c r="G11" s="41"/>
      <c r="H11" s="42"/>
      <c r="I11" s="170"/>
      <c r="J11" s="171"/>
      <c r="K11" s="171"/>
      <c r="L11" s="171"/>
      <c r="M11" s="171"/>
      <c r="N11" s="15"/>
    </row>
    <row r="12" spans="1:20" ht="24.6" customHeight="1">
      <c r="A12" s="169">
        <f>SUBTOTAL(3,$B$5:$B12)*1</f>
        <v>8</v>
      </c>
      <c r="B12" s="49">
        <v>60886</v>
      </c>
      <c r="C12" s="50" t="s">
        <v>49</v>
      </c>
      <c r="D12" s="49" t="s">
        <v>166</v>
      </c>
      <c r="E12" s="49"/>
      <c r="F12" s="49"/>
      <c r="G12" s="41"/>
      <c r="H12" s="42"/>
      <c r="I12" s="170"/>
      <c r="J12" s="171"/>
      <c r="K12" s="171"/>
      <c r="L12" s="171"/>
      <c r="M12" s="171"/>
      <c r="N12" s="15" t="str">
        <f>VLOOKUP(B12,'1B 1A ครั้งที่ 1'!$B$4:$J$53,9,0)</f>
        <v>ซ่อมผ่าน</v>
      </c>
    </row>
    <row r="13" spans="1:20" ht="24.6" customHeight="1">
      <c r="A13" s="169">
        <f>SUBTOTAL(3,$B$5:$B13)*1</f>
        <v>9</v>
      </c>
      <c r="B13" s="49">
        <v>60890</v>
      </c>
      <c r="C13" s="50" t="s">
        <v>50</v>
      </c>
      <c r="D13" s="49">
        <v>97</v>
      </c>
      <c r="E13" s="49"/>
      <c r="F13" s="49"/>
      <c r="G13" s="41"/>
      <c r="H13" s="42"/>
      <c r="I13" s="170"/>
      <c r="J13" s="171"/>
      <c r="K13" s="171"/>
      <c r="L13" s="171"/>
      <c r="M13" s="171"/>
      <c r="N13" s="15"/>
    </row>
    <row r="14" spans="1:20" ht="24.6" customHeight="1">
      <c r="A14" s="169">
        <f>SUBTOTAL(3,$B$5:$B14)*1</f>
        <v>10</v>
      </c>
      <c r="B14" s="49">
        <v>61826</v>
      </c>
      <c r="C14" s="50" t="s">
        <v>43</v>
      </c>
      <c r="D14" s="49">
        <v>100</v>
      </c>
      <c r="E14" s="49"/>
      <c r="F14" s="49"/>
      <c r="G14" s="41"/>
      <c r="H14" s="42"/>
      <c r="I14" s="170"/>
      <c r="J14" s="171"/>
      <c r="K14" s="171"/>
      <c r="L14" s="171"/>
      <c r="M14" s="171"/>
      <c r="N14" s="15"/>
    </row>
    <row r="15" spans="1:20" ht="24.6" customHeight="1">
      <c r="A15" s="169">
        <f>SUBTOTAL(3,$B$5:$B15)*1</f>
        <v>11</v>
      </c>
      <c r="B15" s="49">
        <v>62442</v>
      </c>
      <c r="C15" s="50" t="s">
        <v>52</v>
      </c>
      <c r="D15" s="49">
        <v>98</v>
      </c>
      <c r="E15" s="49"/>
      <c r="F15" s="49"/>
      <c r="G15" s="41"/>
      <c r="H15" s="42"/>
      <c r="I15" s="170"/>
      <c r="J15" s="171"/>
      <c r="K15" s="171"/>
      <c r="L15" s="171"/>
      <c r="M15" s="171"/>
      <c r="N15" s="15"/>
    </row>
    <row r="16" spans="1:20" ht="24.6" customHeight="1">
      <c r="A16" s="169">
        <f>SUBTOTAL(3,$B$5:$B16)*1</f>
        <v>12</v>
      </c>
      <c r="B16" s="49">
        <v>62559</v>
      </c>
      <c r="C16" s="50" t="s">
        <v>44</v>
      </c>
      <c r="D16" s="49">
        <v>98</v>
      </c>
      <c r="E16" s="49"/>
      <c r="F16" s="49"/>
      <c r="G16" s="41"/>
      <c r="H16" s="42"/>
      <c r="I16" s="170"/>
      <c r="J16" s="171"/>
      <c r="K16" s="171"/>
      <c r="L16" s="171"/>
      <c r="M16" s="171"/>
      <c r="N16" s="15"/>
    </row>
    <row r="17" spans="1:14" ht="24.6" customHeight="1">
      <c r="A17" s="169">
        <f>SUBTOTAL(3,$B$5:$B17)*1</f>
        <v>13</v>
      </c>
      <c r="B17" s="49">
        <v>62679</v>
      </c>
      <c r="C17" s="50" t="s">
        <v>39</v>
      </c>
      <c r="D17" s="49">
        <v>98.5</v>
      </c>
      <c r="E17" s="49"/>
      <c r="F17" s="49"/>
      <c r="G17" s="41"/>
      <c r="H17" s="42"/>
      <c r="I17" s="170"/>
      <c r="J17" s="171"/>
      <c r="K17" s="171"/>
      <c r="L17" s="171"/>
      <c r="M17" s="171"/>
      <c r="N17" s="15"/>
    </row>
    <row r="18" spans="1:14" ht="24.6" customHeight="1">
      <c r="A18" s="169">
        <f>SUBTOTAL(3,$B$5:$B18)*1</f>
        <v>14</v>
      </c>
      <c r="B18" s="49">
        <v>62681</v>
      </c>
      <c r="C18" s="50" t="s">
        <v>45</v>
      </c>
      <c r="D18" s="49" t="s">
        <v>167</v>
      </c>
      <c r="E18" s="49"/>
      <c r="F18" s="49"/>
      <c r="G18" s="41"/>
      <c r="H18" s="42"/>
      <c r="I18" s="170"/>
      <c r="J18" s="171"/>
      <c r="K18" s="171"/>
      <c r="L18" s="171"/>
      <c r="M18" s="171"/>
      <c r="N18" s="15" t="str">
        <f>VLOOKUP(B18,'1B 1A ครั้งที่ 1'!$B$4:$J$53,9,0)</f>
        <v>ซ่อมผ่าน</v>
      </c>
    </row>
    <row r="19" spans="1:14" ht="24.6" customHeight="1">
      <c r="A19" s="169">
        <f>SUBTOTAL(3,$B$5:$B19)*1</f>
        <v>15</v>
      </c>
      <c r="B19" s="39">
        <v>62736</v>
      </c>
      <c r="C19" s="40" t="s">
        <v>54</v>
      </c>
      <c r="D19" s="49">
        <v>98</v>
      </c>
      <c r="E19" s="49"/>
      <c r="F19" s="49"/>
      <c r="G19" s="41"/>
      <c r="H19" s="42"/>
      <c r="I19" s="170"/>
      <c r="J19" s="171"/>
      <c r="K19" s="171"/>
      <c r="L19" s="171"/>
      <c r="M19" s="171"/>
      <c r="N19" s="15"/>
    </row>
    <row r="20" spans="1:14" ht="24.6" customHeight="1">
      <c r="A20" s="169">
        <f>SUBTOTAL(3,$B$5:$B20)*1</f>
        <v>16</v>
      </c>
      <c r="B20" s="49">
        <v>62810</v>
      </c>
      <c r="C20" s="50" t="s">
        <v>46</v>
      </c>
      <c r="D20" s="49">
        <v>99.5</v>
      </c>
      <c r="E20" s="49"/>
      <c r="F20" s="49"/>
      <c r="G20" s="41"/>
      <c r="H20" s="42"/>
      <c r="I20" s="170"/>
      <c r="J20" s="171"/>
      <c r="K20" s="171"/>
      <c r="L20" s="171"/>
      <c r="M20" s="171"/>
      <c r="N20" s="15"/>
    </row>
    <row r="21" spans="1:14" ht="24.6" customHeight="1">
      <c r="A21" s="169">
        <f>SUBTOTAL(3,$B$5:$B21)*1</f>
        <v>17</v>
      </c>
      <c r="B21" s="49">
        <v>62882</v>
      </c>
      <c r="C21" s="50" t="s">
        <v>47</v>
      </c>
      <c r="D21" s="49">
        <v>97</v>
      </c>
      <c r="E21" s="49"/>
      <c r="F21" s="49"/>
      <c r="G21" s="41"/>
      <c r="H21" s="42"/>
      <c r="I21" s="170"/>
      <c r="J21" s="171"/>
      <c r="K21" s="171"/>
      <c r="L21" s="171"/>
      <c r="M21" s="171"/>
      <c r="N21" s="15"/>
    </row>
    <row r="22" spans="1:14" ht="24.6" customHeight="1">
      <c r="A22" s="169">
        <f>SUBTOTAL(3,$B$5:$B22)*1</f>
        <v>18</v>
      </c>
      <c r="B22" s="39">
        <v>62952</v>
      </c>
      <c r="C22" s="40" t="s">
        <v>56</v>
      </c>
      <c r="D22" s="49">
        <v>98.5</v>
      </c>
      <c r="E22" s="49"/>
      <c r="F22" s="49"/>
      <c r="G22" s="41"/>
      <c r="H22" s="42"/>
      <c r="I22" s="170"/>
      <c r="J22" s="171"/>
      <c r="K22" s="171"/>
      <c r="L22" s="171"/>
      <c r="M22" s="171"/>
      <c r="N22" s="15"/>
    </row>
    <row r="23" spans="1:14" ht="24.6" customHeight="1">
      <c r="A23" s="169">
        <f>SUBTOTAL(3,$B$5:$B23)*1</f>
        <v>19</v>
      </c>
      <c r="B23" s="39">
        <v>62954</v>
      </c>
      <c r="C23" s="40" t="s">
        <v>57</v>
      </c>
      <c r="D23" s="49">
        <v>98</v>
      </c>
      <c r="E23" s="49"/>
      <c r="F23" s="49"/>
      <c r="G23" s="41"/>
      <c r="H23" s="42"/>
      <c r="I23" s="170"/>
      <c r="J23" s="171"/>
      <c r="K23" s="171"/>
      <c r="L23" s="171"/>
      <c r="M23" s="171"/>
      <c r="N23" s="15"/>
    </row>
    <row r="24" spans="1:14" ht="24.6" customHeight="1">
      <c r="A24" s="169">
        <f>SUBTOTAL(3,$B$5:$B24)*1</f>
        <v>20</v>
      </c>
      <c r="B24" s="39">
        <v>62956</v>
      </c>
      <c r="C24" s="40" t="s">
        <v>58</v>
      </c>
      <c r="D24" s="49">
        <v>99.5</v>
      </c>
      <c r="E24" s="49"/>
      <c r="F24" s="49"/>
      <c r="G24" s="41"/>
      <c r="H24" s="42"/>
      <c r="I24" s="170"/>
      <c r="J24" s="171"/>
      <c r="K24" s="171"/>
      <c r="L24" s="171"/>
      <c r="M24" s="171"/>
      <c r="N24" s="15"/>
    </row>
    <row r="25" spans="1:14" ht="24.6" customHeight="1">
      <c r="A25" s="169">
        <f>SUBTOTAL(3,$B$5:$B25)*1</f>
        <v>21</v>
      </c>
      <c r="B25" s="39">
        <v>63093</v>
      </c>
      <c r="C25" s="40" t="s">
        <v>59</v>
      </c>
      <c r="D25" s="49">
        <v>93.5</v>
      </c>
      <c r="E25" s="49"/>
      <c r="F25" s="49"/>
      <c r="G25" s="41"/>
      <c r="H25" s="42"/>
      <c r="I25" s="170"/>
      <c r="J25" s="171"/>
      <c r="K25" s="171"/>
      <c r="L25" s="171"/>
      <c r="M25" s="171"/>
      <c r="N25" s="15"/>
    </row>
    <row r="26" spans="1:14" ht="24.6" customHeight="1">
      <c r="A26" s="169">
        <f>SUBTOTAL(3,$B$5:$B26)*1</f>
        <v>22</v>
      </c>
      <c r="B26" s="39">
        <v>63159</v>
      </c>
      <c r="C26" s="40" t="s">
        <v>60</v>
      </c>
      <c r="D26" s="49">
        <v>96.5</v>
      </c>
      <c r="E26" s="49"/>
      <c r="F26" s="49"/>
      <c r="G26" s="41"/>
      <c r="H26" s="42"/>
      <c r="I26" s="170"/>
      <c r="J26" s="171"/>
      <c r="K26" s="171"/>
      <c r="L26" s="171"/>
      <c r="M26" s="171"/>
      <c r="N26" s="15"/>
    </row>
    <row r="27" spans="1:14" ht="24.6" customHeight="1">
      <c r="A27" s="169">
        <f>SUBTOTAL(3,$B$5:$B27)*1</f>
        <v>23</v>
      </c>
      <c r="B27" s="39">
        <v>63248</v>
      </c>
      <c r="C27" s="40" t="s">
        <v>61</v>
      </c>
      <c r="D27" s="49">
        <v>97</v>
      </c>
      <c r="E27" s="49"/>
      <c r="F27" s="49"/>
      <c r="G27" s="41"/>
      <c r="H27" s="42"/>
      <c r="I27" s="170"/>
      <c r="J27" s="171"/>
      <c r="K27" s="171"/>
      <c r="L27" s="171"/>
      <c r="M27" s="171"/>
      <c r="N27" s="15"/>
    </row>
    <row r="28" spans="1:14" ht="24.6" customHeight="1">
      <c r="A28" s="169">
        <f>SUBTOTAL(3,$B$5:$B28)*1</f>
        <v>24</v>
      </c>
      <c r="B28" s="39">
        <v>63249</v>
      </c>
      <c r="C28" s="40" t="s">
        <v>62</v>
      </c>
      <c r="D28" s="49" t="s">
        <v>168</v>
      </c>
      <c r="E28" s="49"/>
      <c r="F28" s="49"/>
      <c r="G28" s="41"/>
      <c r="H28" s="42"/>
      <c r="I28" s="170"/>
      <c r="J28" s="171"/>
      <c r="K28" s="171"/>
      <c r="L28" s="171"/>
      <c r="M28" s="171"/>
      <c r="N28" s="15" t="str">
        <f>VLOOKUP(B28,'1B 1A ครั้งที่ 1'!$B$4:$J$53,9,0)</f>
        <v>ซ่อมผ่าน</v>
      </c>
    </row>
    <row r="29" spans="1:14" ht="24.6" customHeight="1">
      <c r="A29" s="169">
        <f>SUBTOTAL(3,$B$5:$B29)*1</f>
        <v>25</v>
      </c>
      <c r="B29" s="39">
        <v>63371</v>
      </c>
      <c r="C29" s="40" t="s">
        <v>63</v>
      </c>
      <c r="D29" s="49">
        <v>92.5</v>
      </c>
      <c r="E29" s="49"/>
      <c r="F29" s="49"/>
      <c r="G29" s="41"/>
      <c r="H29" s="42"/>
      <c r="I29" s="170"/>
      <c r="J29" s="171"/>
      <c r="K29" s="171"/>
      <c r="L29" s="171"/>
      <c r="M29" s="171"/>
      <c r="N29" s="15"/>
    </row>
    <row r="30" spans="1:14" ht="24.6" customHeight="1">
      <c r="A30" s="169">
        <f>SUBTOTAL(3,$B$5:$B30)*1</f>
        <v>26</v>
      </c>
      <c r="B30" s="39">
        <v>63431</v>
      </c>
      <c r="C30" s="40" t="s">
        <v>64</v>
      </c>
      <c r="D30" s="49">
        <v>95.5</v>
      </c>
      <c r="E30" s="49"/>
      <c r="F30" s="49"/>
      <c r="G30" s="41"/>
      <c r="H30" s="42"/>
      <c r="I30" s="170"/>
      <c r="J30" s="171"/>
      <c r="K30" s="171"/>
      <c r="L30" s="171"/>
      <c r="M30" s="171"/>
      <c r="N30" s="15"/>
    </row>
    <row r="31" spans="1:14" ht="24.6" customHeight="1">
      <c r="A31" s="169">
        <f>SUBTOTAL(3,$B$5:$B31)*1</f>
        <v>27</v>
      </c>
      <c r="B31" s="39">
        <v>63433</v>
      </c>
      <c r="C31" s="40" t="s">
        <v>66</v>
      </c>
      <c r="D31" s="49">
        <v>98</v>
      </c>
      <c r="E31" s="49"/>
      <c r="F31" s="49"/>
      <c r="G31" s="41"/>
      <c r="H31" s="42"/>
      <c r="I31" s="170"/>
      <c r="J31" s="171"/>
      <c r="K31" s="171"/>
      <c r="L31" s="171"/>
      <c r="M31" s="171"/>
      <c r="N31" s="15"/>
    </row>
    <row r="32" spans="1:14" ht="24.6" customHeight="1">
      <c r="A32" s="169">
        <f>SUBTOTAL(3,$B$5:$B32)*1</f>
        <v>28</v>
      </c>
      <c r="B32" s="39">
        <v>63436</v>
      </c>
      <c r="C32" s="40" t="s">
        <v>67</v>
      </c>
      <c r="D32" s="49">
        <v>99.5</v>
      </c>
      <c r="E32" s="49"/>
      <c r="F32" s="49"/>
      <c r="G32" s="41"/>
      <c r="H32" s="42"/>
      <c r="I32" s="170"/>
      <c r="J32" s="171"/>
      <c r="K32" s="171"/>
      <c r="L32" s="171"/>
      <c r="M32" s="171"/>
      <c r="N32" s="15"/>
    </row>
    <row r="33" spans="1:14" ht="24.6" customHeight="1">
      <c r="A33" s="169">
        <f>SUBTOTAL(3,$B$5:$B33)*1</f>
        <v>29</v>
      </c>
      <c r="B33" s="39">
        <v>63439</v>
      </c>
      <c r="C33" s="40" t="s">
        <v>65</v>
      </c>
      <c r="D33" s="49">
        <v>98.5</v>
      </c>
      <c r="E33" s="49"/>
      <c r="F33" s="49"/>
      <c r="G33" s="41"/>
      <c r="H33" s="42"/>
      <c r="I33" s="170"/>
      <c r="J33" s="171"/>
      <c r="K33" s="171"/>
      <c r="L33" s="171"/>
      <c r="M33" s="171"/>
      <c r="N33" s="15"/>
    </row>
    <row r="34" spans="1:14" ht="24.6" customHeight="1">
      <c r="A34" s="169">
        <f>SUBTOTAL(3,$B$5:$B34)*1</f>
        <v>30</v>
      </c>
      <c r="B34" s="39">
        <v>63550</v>
      </c>
      <c r="C34" s="40" t="s">
        <v>70</v>
      </c>
      <c r="D34" s="49">
        <v>93.5</v>
      </c>
      <c r="E34" s="49"/>
      <c r="F34" s="49"/>
      <c r="G34" s="41"/>
      <c r="H34" s="42"/>
      <c r="I34" s="170"/>
      <c r="J34" s="171"/>
      <c r="K34" s="171"/>
      <c r="L34" s="171"/>
      <c r="M34" s="171"/>
      <c r="N34" s="15"/>
    </row>
    <row r="35" spans="1:14" ht="24.6" customHeight="1">
      <c r="A35" s="169">
        <f>SUBTOTAL(3,$B$5:$B35)*1</f>
        <v>31</v>
      </c>
      <c r="B35" s="39">
        <v>63564</v>
      </c>
      <c r="C35" s="40" t="s">
        <v>72</v>
      </c>
      <c r="D35" s="49" t="s">
        <v>169</v>
      </c>
      <c r="E35" s="49"/>
      <c r="F35" s="49"/>
      <c r="G35" s="41"/>
      <c r="H35" s="42"/>
      <c r="I35" s="170"/>
      <c r="J35" s="171"/>
      <c r="K35" s="171"/>
      <c r="L35" s="171"/>
      <c r="M35" s="171"/>
      <c r="N35" s="15" t="str">
        <f>VLOOKUP(B35,'1B 1A ครั้งที่ 1'!$B$4:$J$53,9,0)</f>
        <v>ซ่อมผ่าน</v>
      </c>
    </row>
    <row r="36" spans="1:14" ht="24.6" customHeight="1">
      <c r="A36" s="169">
        <f>SUBTOTAL(3,$B$5:$B36)*1</f>
        <v>32</v>
      </c>
      <c r="B36" s="39">
        <v>63567</v>
      </c>
      <c r="C36" s="40" t="s">
        <v>74</v>
      </c>
      <c r="D36" s="49">
        <v>98</v>
      </c>
      <c r="E36" s="49"/>
      <c r="F36" s="49"/>
      <c r="G36" s="41"/>
      <c r="H36" s="42"/>
      <c r="I36" s="170"/>
      <c r="J36" s="171"/>
      <c r="K36" s="171"/>
      <c r="L36" s="171"/>
      <c r="M36" s="171"/>
      <c r="N36" s="15"/>
    </row>
    <row r="37" spans="1:14" ht="24.6" customHeight="1">
      <c r="A37" s="169">
        <f>SUBTOTAL(3,$B$5:$B37)*1</f>
        <v>33</v>
      </c>
      <c r="B37" s="39">
        <v>63652</v>
      </c>
      <c r="C37" s="40" t="s">
        <v>75</v>
      </c>
      <c r="D37" s="49">
        <v>93.5</v>
      </c>
      <c r="E37" s="49"/>
      <c r="F37" s="49"/>
      <c r="G37" s="41"/>
      <c r="H37" s="42"/>
      <c r="I37" s="170"/>
      <c r="J37" s="171"/>
      <c r="K37" s="171"/>
      <c r="L37" s="171"/>
      <c r="M37" s="171"/>
      <c r="N37" s="15"/>
    </row>
    <row r="38" spans="1:14" ht="24.6" customHeight="1">
      <c r="A38" s="80">
        <f>SUBTOTAL(3,$B$5:$B38)*1</f>
        <v>34</v>
      </c>
      <c r="B38" s="39">
        <v>63658</v>
      </c>
      <c r="C38" s="40" t="s">
        <v>76</v>
      </c>
      <c r="D38" s="49">
        <v>96.5</v>
      </c>
      <c r="E38" s="49"/>
      <c r="F38" s="49"/>
      <c r="G38" s="41"/>
      <c r="H38" s="42"/>
      <c r="I38" s="170"/>
      <c r="J38" s="171"/>
      <c r="K38" s="171"/>
      <c r="L38" s="171"/>
      <c r="M38" s="171"/>
      <c r="N38" s="15"/>
    </row>
    <row r="39" spans="1:14" ht="24.6" customHeight="1">
      <c r="A39" s="80">
        <f>SUBTOTAL(3,$B$5:$B39)*1</f>
        <v>35</v>
      </c>
      <c r="B39" s="39">
        <v>64312</v>
      </c>
      <c r="C39" s="40" t="s">
        <v>78</v>
      </c>
      <c r="D39" s="49">
        <v>94</v>
      </c>
      <c r="E39" s="39"/>
      <c r="F39" s="39"/>
      <c r="G39" s="41"/>
      <c r="H39" s="42"/>
      <c r="I39" s="170"/>
      <c r="J39" s="171"/>
      <c r="K39" s="172"/>
      <c r="L39" s="172"/>
      <c r="M39" s="171"/>
      <c r="N39" s="173" t="s">
        <v>82</v>
      </c>
    </row>
    <row r="40" spans="1:14" ht="24.6" customHeight="1">
      <c r="A40" s="169">
        <f>SUBTOTAL(3,$B$5:$B40)*1</f>
        <v>36</v>
      </c>
      <c r="B40" s="39">
        <v>64313</v>
      </c>
      <c r="C40" s="40" t="s">
        <v>79</v>
      </c>
      <c r="D40" s="49" t="s">
        <v>170</v>
      </c>
      <c r="E40" s="39"/>
      <c r="F40" s="39"/>
      <c r="G40" s="41"/>
      <c r="H40" s="42"/>
      <c r="I40" s="170"/>
      <c r="J40" s="171"/>
      <c r="K40" s="172"/>
      <c r="L40" s="172"/>
      <c r="M40" s="171"/>
      <c r="N40" s="173" t="s">
        <v>82</v>
      </c>
    </row>
    <row r="41" spans="1:14" ht="24.6" customHeight="1" thickBot="1">
      <c r="A41" s="174">
        <f>SUBTOTAL(3,$B$5:$B41)*1</f>
        <v>37</v>
      </c>
      <c r="B41" s="44">
        <v>64355</v>
      </c>
      <c r="C41" s="45" t="s">
        <v>80</v>
      </c>
      <c r="D41" s="179">
        <v>90</v>
      </c>
      <c r="E41" s="44"/>
      <c r="F41" s="44"/>
      <c r="G41" s="46"/>
      <c r="H41" s="47"/>
      <c r="I41" s="48"/>
      <c r="J41" s="175"/>
      <c r="K41" s="176"/>
      <c r="L41" s="176"/>
      <c r="M41" s="175"/>
      <c r="N41" s="177" t="s">
        <v>82</v>
      </c>
    </row>
    <row r="42" spans="1:14" ht="61.2" customHeight="1"/>
    <row r="43" spans="1:14" ht="61.2" customHeight="1"/>
    <row r="44" spans="1:14" ht="61.2" customHeight="1"/>
  </sheetData>
  <mergeCells count="7">
    <mergeCell ref="A1:N1"/>
    <mergeCell ref="A2:A4"/>
    <mergeCell ref="B2:B4"/>
    <mergeCell ref="C2:C4"/>
    <mergeCell ref="D2:F2"/>
    <mergeCell ref="D3:D4"/>
    <mergeCell ref="E3:E4"/>
  </mergeCells>
  <printOptions horizontalCentered="1"/>
  <pageMargins left="0.11811023622047245" right="0.11811023622047245" top="0.15748031496062992" bottom="0.15748031496062992" header="0.31496062992125984" footer="0.31496062992125984"/>
  <pageSetup paperSize="9" scale="9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CBA8-2342-495B-8D22-B91D27BC2707}">
  <sheetPr>
    <tabColor theme="7" tint="0.39997558519241921"/>
  </sheetPr>
  <dimension ref="A1:J14"/>
  <sheetViews>
    <sheetView workbookViewId="0">
      <selection activeCell="N7" sqref="N7"/>
    </sheetView>
  </sheetViews>
  <sheetFormatPr defaultRowHeight="28.2" customHeight="1"/>
  <cols>
    <col min="1" max="1" width="4.21875" style="89" customWidth="1"/>
    <col min="2" max="9" width="15.44140625" style="89" customWidth="1"/>
    <col min="10" max="10" width="30.77734375" style="89" customWidth="1"/>
    <col min="11" max="11" width="15.5546875" style="89" customWidth="1"/>
    <col min="12" max="16384" width="8.88671875" style="89"/>
  </cols>
  <sheetData>
    <row r="1" spans="1:10" s="84" customFormat="1" ht="39.6" customHeight="1">
      <c r="A1" s="83"/>
      <c r="B1" s="237" t="s">
        <v>163</v>
      </c>
      <c r="C1" s="237"/>
      <c r="D1" s="237"/>
      <c r="E1" s="237"/>
      <c r="F1" s="237"/>
      <c r="G1" s="237"/>
      <c r="H1" s="237"/>
      <c r="I1" s="237"/>
    </row>
    <row r="2" spans="1:10" s="84" customFormat="1" ht="35.4" customHeight="1">
      <c r="A2" s="83"/>
      <c r="B2" s="85" t="s">
        <v>164</v>
      </c>
      <c r="C2" s="85"/>
      <c r="D2" s="86"/>
      <c r="E2" s="86"/>
      <c r="F2" s="83"/>
      <c r="G2" s="83"/>
      <c r="H2" s="83"/>
      <c r="I2" s="83"/>
    </row>
    <row r="3" spans="1:10" ht="30.6" customHeight="1">
      <c r="A3" s="87"/>
      <c r="B3" s="199" t="s">
        <v>129</v>
      </c>
      <c r="C3" s="201" t="s">
        <v>130</v>
      </c>
      <c r="D3" s="205" t="s">
        <v>138</v>
      </c>
      <c r="E3" s="206"/>
      <c r="F3" s="206"/>
      <c r="G3" s="207"/>
      <c r="H3" s="209" t="s">
        <v>81</v>
      </c>
      <c r="I3" s="210"/>
    </row>
    <row r="4" spans="1:10" ht="26.4" customHeight="1">
      <c r="A4" s="87"/>
      <c r="B4" s="200"/>
      <c r="C4" s="202"/>
      <c r="D4" s="114" t="s">
        <v>139</v>
      </c>
      <c r="E4" s="114" t="s">
        <v>134</v>
      </c>
      <c r="F4" s="121" t="s">
        <v>140</v>
      </c>
      <c r="G4" s="121" t="s">
        <v>134</v>
      </c>
      <c r="H4" s="211"/>
      <c r="I4" s="212"/>
    </row>
    <row r="5" spans="1:10" ht="30" customHeight="1">
      <c r="A5" s="87"/>
      <c r="B5" s="88" t="s">
        <v>132</v>
      </c>
      <c r="C5" s="88">
        <v>17</v>
      </c>
      <c r="D5" s="88"/>
      <c r="E5" s="99">
        <f>D5/C5</f>
        <v>0</v>
      </c>
      <c r="F5" s="122"/>
      <c r="G5" s="123">
        <f>F5/C5</f>
        <v>0</v>
      </c>
      <c r="H5" s="215"/>
      <c r="I5" s="216"/>
    </row>
    <row r="6" spans="1:10" ht="30" customHeight="1">
      <c r="A6" s="87"/>
      <c r="B6" s="97" t="s">
        <v>133</v>
      </c>
      <c r="C6" s="100">
        <v>37</v>
      </c>
      <c r="D6" s="97"/>
      <c r="E6" s="102">
        <f>D6/C6</f>
        <v>0</v>
      </c>
      <c r="F6" s="124"/>
      <c r="G6" s="125">
        <f>F6/C6</f>
        <v>0</v>
      </c>
      <c r="H6" s="213"/>
      <c r="I6" s="214"/>
    </row>
    <row r="7" spans="1:10" ht="45.6" customHeight="1">
      <c r="A7" s="87"/>
      <c r="B7" s="113" t="s">
        <v>135</v>
      </c>
      <c r="C7" s="113">
        <f>SUM(C5:C6)</f>
        <v>54</v>
      </c>
      <c r="D7" s="113">
        <f>SUM(D5:D6)</f>
        <v>0</v>
      </c>
      <c r="E7" s="115">
        <f>D7/C7</f>
        <v>0</v>
      </c>
      <c r="F7" s="126">
        <f>SUM(F5:F6)</f>
        <v>0</v>
      </c>
      <c r="G7" s="127">
        <f>F7/C7</f>
        <v>0</v>
      </c>
      <c r="H7" s="217"/>
      <c r="I7" s="218"/>
    </row>
    <row r="8" spans="1:10" ht="39" customHeight="1">
      <c r="A8" s="87"/>
      <c r="B8" s="92"/>
      <c r="C8" s="92"/>
      <c r="D8" s="93"/>
      <c r="E8" s="93"/>
      <c r="F8" s="94"/>
      <c r="G8" s="94"/>
      <c r="H8" s="95"/>
      <c r="I8" s="96"/>
    </row>
    <row r="9" spans="1:10" s="84" customFormat="1" ht="35.4" customHeight="1">
      <c r="A9" s="83"/>
      <c r="B9" s="85" t="s">
        <v>141</v>
      </c>
      <c r="C9" s="85"/>
      <c r="D9" s="86"/>
      <c r="E9" s="86"/>
      <c r="F9" s="83"/>
      <c r="G9" s="83"/>
      <c r="H9" s="83"/>
      <c r="I9" s="83"/>
    </row>
    <row r="10" spans="1:10" ht="30.6" customHeight="1">
      <c r="A10" s="87"/>
      <c r="B10" s="199" t="s">
        <v>129</v>
      </c>
      <c r="C10" s="201" t="s">
        <v>130</v>
      </c>
      <c r="D10" s="201" t="s">
        <v>131</v>
      </c>
      <c r="E10" s="205" t="s">
        <v>138</v>
      </c>
      <c r="F10" s="206"/>
      <c r="G10" s="206"/>
      <c r="H10" s="207"/>
      <c r="I10" s="203" t="s">
        <v>142</v>
      </c>
      <c r="J10" s="199" t="s">
        <v>81</v>
      </c>
    </row>
    <row r="11" spans="1:10" ht="26.4" customHeight="1">
      <c r="A11" s="87"/>
      <c r="B11" s="200"/>
      <c r="C11" s="202"/>
      <c r="D11" s="202"/>
      <c r="E11" s="114" t="s">
        <v>139</v>
      </c>
      <c r="F11" s="114" t="s">
        <v>134</v>
      </c>
      <c r="G11" s="121" t="s">
        <v>140</v>
      </c>
      <c r="H11" s="121" t="s">
        <v>134</v>
      </c>
      <c r="I11" s="204"/>
      <c r="J11" s="200"/>
    </row>
    <row r="12" spans="1:10" ht="30" customHeight="1">
      <c r="A12" s="87"/>
      <c r="B12" s="88" t="s">
        <v>132</v>
      </c>
      <c r="C12" s="88">
        <v>17</v>
      </c>
      <c r="D12" s="88">
        <v>17</v>
      </c>
      <c r="E12" s="90"/>
      <c r="F12" s="101">
        <f>E12/D12</f>
        <v>0</v>
      </c>
      <c r="G12" s="122"/>
      <c r="H12" s="123">
        <f>G12/D12</f>
        <v>0</v>
      </c>
      <c r="I12" s="112" t="s">
        <v>137</v>
      </c>
      <c r="J12" s="91"/>
    </row>
    <row r="13" spans="1:10" ht="30" customHeight="1">
      <c r="A13" s="87"/>
      <c r="B13" s="97" t="s">
        <v>133</v>
      </c>
      <c r="C13" s="100">
        <v>37</v>
      </c>
      <c r="D13" s="97">
        <v>33</v>
      </c>
      <c r="E13" s="98"/>
      <c r="F13" s="103">
        <f>E13/D13</f>
        <v>0</v>
      </c>
      <c r="G13" s="124"/>
      <c r="H13" s="123">
        <f t="shared" ref="H13" si="0">G13/D13</f>
        <v>0</v>
      </c>
      <c r="I13" s="105">
        <v>4</v>
      </c>
      <c r="J13" s="111"/>
    </row>
    <row r="14" spans="1:10" ht="45.6" customHeight="1">
      <c r="A14" s="87"/>
      <c r="B14" s="113" t="s">
        <v>135</v>
      </c>
      <c r="C14" s="113">
        <f>SUM(C12:C13)</f>
        <v>54</v>
      </c>
      <c r="D14" s="113">
        <f>SUM(D12:D13)</f>
        <v>50</v>
      </c>
      <c r="E14" s="116">
        <f>SUM(E12:E13)</f>
        <v>0</v>
      </c>
      <c r="F14" s="117">
        <f>E14/D14</f>
        <v>0</v>
      </c>
      <c r="G14" s="126">
        <f>SUM(G12:G13)</f>
        <v>0</v>
      </c>
      <c r="H14" s="127">
        <f>G14/D14</f>
        <v>0</v>
      </c>
      <c r="I14" s="118">
        <f>SUM(I12:I13)</f>
        <v>4</v>
      </c>
      <c r="J14" s="119"/>
    </row>
  </sheetData>
  <mergeCells count="14">
    <mergeCell ref="H5:I5"/>
    <mergeCell ref="B1:I1"/>
    <mergeCell ref="B3:B4"/>
    <mergeCell ref="C3:C4"/>
    <mergeCell ref="D3:G3"/>
    <mergeCell ref="H3:I4"/>
    <mergeCell ref="J10:J11"/>
    <mergeCell ref="H6:I6"/>
    <mergeCell ref="H7:I7"/>
    <mergeCell ref="B10:B11"/>
    <mergeCell ref="C10:C11"/>
    <mergeCell ref="D10:D11"/>
    <mergeCell ref="E10:H10"/>
    <mergeCell ref="I10:I11"/>
  </mergeCells>
  <pageMargins left="0.51181102362204722" right="0.31496062992125984" top="0.35433070866141736" bottom="0.35433070866141736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2C 2B ครั้งที่ 1</vt:lpstr>
      <vt:lpstr>1B 1A ครั้งที่ 1</vt:lpstr>
      <vt:lpstr>สรุปผลครั้งที่ 1</vt:lpstr>
      <vt:lpstr>2C 2B ครั้งที่ 2</vt:lpstr>
      <vt:lpstr>1B 1A ครั้งที่ 2</vt:lpstr>
      <vt:lpstr>สรุปผลครั้งที่ 2</vt:lpstr>
      <vt:lpstr>2C 2B คะแนนตามเกณฑ์</vt:lpstr>
      <vt:lpstr>1B 1A คะแนนตามเกณฑ์</vt:lpstr>
      <vt:lpstr>สรุปผลแผนงาน</vt:lpstr>
      <vt:lpstr>'1B 1A ครั้งที่ 1'!Print_Area</vt:lpstr>
      <vt:lpstr>'1B 1A ครั้งที่ 2'!Print_Area</vt:lpstr>
      <vt:lpstr>'1B 1A คะแนนตามเกณฑ์'!Print_Area</vt:lpstr>
      <vt:lpstr>'2C 2B ครั้งที่ 1'!Print_Area</vt:lpstr>
      <vt:lpstr>'2C 2B ครั้งที่ 2'!Print_Area</vt:lpstr>
      <vt:lpstr>'2C 2B คะแนนตามเกณฑ์'!Print_Area</vt:lpstr>
      <vt:lpstr>'1B 1A ครั้งที่ 1'!Print_Titles</vt:lpstr>
      <vt:lpstr>'1B 1A ครั้งที่ 2'!Print_Titles</vt:lpstr>
      <vt:lpstr>'1B 1A คะแนนตามเกณฑ์'!Print_Titles</vt:lpstr>
      <vt:lpstr>'2C 2B ครั้งที่ 1'!Print_Titles</vt:lpstr>
      <vt:lpstr>'2C 2B ครั้งที่ 2'!Print_Titles</vt:lpstr>
      <vt:lpstr>'2C 2B คะแนนตามเกณฑ์'!Print_Titles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2025-06-13T07:45:28Z</cp:lastPrinted>
  <dcterms:created xsi:type="dcterms:W3CDTF">2025-05-25T16:25:35Z</dcterms:created>
  <dcterms:modified xsi:type="dcterms:W3CDTF">2025-10-04T09:48:56Z</dcterms:modified>
</cp:coreProperties>
</file>